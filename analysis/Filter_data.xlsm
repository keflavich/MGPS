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88" yWindow="60" windowWidth="19008" windowHeight="8568" activeTab="5"/>
  </bookViews>
  <sheets>
    <sheet name="K1860" sheetId="1" r:id="rId1"/>
    <sheet name="Sheet2" sheetId="2" r:id="rId2"/>
    <sheet name="IR_50" sheetId="3" r:id="rId3"/>
    <sheet name="IR_100" sheetId="4" r:id="rId4"/>
    <sheet name="K1887" sheetId="5" r:id="rId5"/>
    <sheet name="K1888" sheetId="6" r:id="rId6"/>
    <sheet name="K1889" sheetId="7" r:id="rId7"/>
    <sheet name="PTFE" sheetId="8" r:id="rId8"/>
    <sheet name="Nylon" sheetId="9" r:id="rId9"/>
    <sheet name="Data" sheetId="10" r:id="rId10"/>
    <sheet name="mirror" sheetId="11" r:id="rId11"/>
  </sheets>
  <definedNames>
    <definedName name="n">Sheet2!$A$2</definedName>
    <definedName name="solver_adj" localSheetId="9" hidden="1">Data!$V$60:$V$67</definedName>
    <definedName name="solver_cvg" localSheetId="9" hidden="1">0.0001</definedName>
    <definedName name="solver_drv" localSheetId="9" hidden="1">1</definedName>
    <definedName name="solver_eng" localSheetId="9" hidden="1">1</definedName>
    <definedName name="solver_est" localSheetId="9" hidden="1">1</definedName>
    <definedName name="solver_itr" localSheetId="9" hidden="1">2147483647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9" hidden="1">2</definedName>
    <definedName name="solver_nod" localSheetId="9" hidden="1">2147483647</definedName>
    <definedName name="solver_num" localSheetId="9" hidden="1">0</definedName>
    <definedName name="solver_nwt" localSheetId="9" hidden="1">1</definedName>
    <definedName name="solver_opt" localSheetId="9" hidden="1">Data!$Q$117</definedName>
    <definedName name="solver_pre" localSheetId="9" hidden="1">0.000001</definedName>
    <definedName name="solver_rbv" localSheetId="9" hidden="1">1</definedName>
    <definedName name="solver_rlx" localSheetId="9" hidden="1">2</definedName>
    <definedName name="solver_rsd" localSheetId="9" hidden="1">0</definedName>
    <definedName name="solver_scl" localSheetId="9" hidden="1">1</definedName>
    <definedName name="solver_sho" localSheetId="9" hidden="1">2</definedName>
    <definedName name="solver_ssz" localSheetId="9" hidden="1">100</definedName>
    <definedName name="solver_tim" localSheetId="9" hidden="1">2147483647</definedName>
    <definedName name="solver_tol" localSheetId="9" hidden="1">0.01</definedName>
    <definedName name="solver_typ" localSheetId="9" hidden="1">2</definedName>
    <definedName name="solver_val" localSheetId="9" hidden="1">0</definedName>
    <definedName name="solver_ver" localSheetId="9" hidden="1">3</definedName>
  </definedNames>
  <calcPr calcId="145621"/>
</workbook>
</file>

<file path=xl/calcChain.xml><?xml version="1.0" encoding="utf-8"?>
<calcChain xmlns="http://schemas.openxmlformats.org/spreadsheetml/2006/main">
  <c r="C3" i="7" l="1"/>
  <c r="AD18" i="10" l="1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17" i="10"/>
  <c r="AA43" i="10"/>
  <c r="AA42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Z38" i="10"/>
  <c r="Z39" i="10"/>
  <c r="Z40" i="10"/>
  <c r="Z41" i="10"/>
  <c r="Z42" i="10"/>
  <c r="Z43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17" i="10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3" i="9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4" i="7"/>
  <c r="C5" i="7"/>
  <c r="C6" i="7"/>
  <c r="C7" i="7"/>
  <c r="C8" i="7"/>
  <c r="C10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4" i="6"/>
  <c r="C5" i="6"/>
  <c r="C6" i="6"/>
  <c r="C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9" i="6"/>
  <c r="C8" i="6"/>
  <c r="C7" i="6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4" i="5"/>
  <c r="C5" i="5"/>
  <c r="C6" i="5"/>
  <c r="C3" i="5"/>
  <c r="C4" i="1"/>
  <c r="C5" i="1"/>
  <c r="C6" i="1"/>
  <c r="C3" i="1"/>
  <c r="C212" i="5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80" i="1"/>
  <c r="C679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32" i="1"/>
  <c r="C145" i="1"/>
  <c r="C123" i="1"/>
  <c r="C124" i="1"/>
  <c r="C125" i="1"/>
  <c r="C126" i="1"/>
  <c r="C127" i="1"/>
  <c r="C128" i="1"/>
  <c r="C129" i="1"/>
  <c r="C130" i="1"/>
  <c r="C131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S116" i="10"/>
  <c r="S115" i="10"/>
  <c r="S114" i="10"/>
  <c r="S113" i="10"/>
  <c r="S112" i="10"/>
  <c r="S111" i="10"/>
  <c r="S110" i="10"/>
  <c r="S109" i="10"/>
  <c r="S108" i="10"/>
  <c r="S107" i="10"/>
  <c r="S106" i="10"/>
  <c r="S105" i="10"/>
  <c r="S104" i="10"/>
  <c r="S103" i="10"/>
  <c r="S102" i="10"/>
  <c r="S101" i="10"/>
  <c r="S100" i="10"/>
  <c r="S99" i="10"/>
  <c r="S98" i="10"/>
  <c r="S97" i="10"/>
  <c r="S96" i="10"/>
  <c r="S95" i="10"/>
  <c r="S94" i="10"/>
  <c r="S93" i="10"/>
  <c r="S92" i="10"/>
  <c r="S91" i="10"/>
  <c r="S90" i="10"/>
  <c r="S89" i="10"/>
  <c r="S88" i="10"/>
  <c r="S87" i="10"/>
  <c r="S86" i="10"/>
  <c r="S85" i="10"/>
  <c r="S84" i="10"/>
  <c r="S83" i="10"/>
  <c r="S82" i="10"/>
  <c r="S81" i="10"/>
  <c r="S80" i="10"/>
  <c r="S79" i="10"/>
  <c r="S78" i="10"/>
  <c r="S77" i="10"/>
  <c r="S76" i="10"/>
  <c r="S75" i="10"/>
  <c r="S74" i="10"/>
  <c r="S73" i="10"/>
  <c r="S72" i="10"/>
  <c r="S71" i="10"/>
  <c r="S70" i="10"/>
  <c r="S69" i="10"/>
  <c r="S68" i="10"/>
  <c r="S67" i="10"/>
  <c r="S66" i="10"/>
  <c r="S65" i="10"/>
  <c r="S64" i="10"/>
  <c r="S63" i="10"/>
  <c r="S62" i="10"/>
  <c r="S61" i="10"/>
  <c r="S60" i="10"/>
  <c r="J60" i="10"/>
  <c r="P60" i="10"/>
  <c r="Q60" i="10" s="1"/>
  <c r="J61" i="10"/>
  <c r="P61" i="10"/>
  <c r="Q61" i="10" s="1"/>
  <c r="J62" i="10"/>
  <c r="P62" i="10"/>
  <c r="Q62" i="10" s="1"/>
  <c r="J63" i="10"/>
  <c r="P63" i="10"/>
  <c r="Q63" i="10" s="1"/>
  <c r="H60" i="10"/>
  <c r="H61" i="10"/>
  <c r="H63" i="10"/>
  <c r="H62" i="10"/>
  <c r="K64" i="10"/>
  <c r="Q31" i="10"/>
  <c r="C16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159" i="1"/>
  <c r="C160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P116" i="10"/>
  <c r="Q116" i="10" s="1"/>
  <c r="P115" i="10"/>
  <c r="Q115" i="10" s="1"/>
  <c r="P114" i="10"/>
  <c r="Q114" i="10" s="1"/>
  <c r="P113" i="10"/>
  <c r="Q113" i="10" s="1"/>
  <c r="P112" i="10"/>
  <c r="Q112" i="10" s="1"/>
  <c r="P111" i="10"/>
  <c r="Q111" i="10" s="1"/>
  <c r="P110" i="10"/>
  <c r="Q110" i="10" s="1"/>
  <c r="P109" i="10"/>
  <c r="Q109" i="10" s="1"/>
  <c r="P108" i="10"/>
  <c r="Q108" i="10" s="1"/>
  <c r="P107" i="10"/>
  <c r="Q107" i="10" s="1"/>
  <c r="P106" i="10"/>
  <c r="Q106" i="10" s="1"/>
  <c r="P105" i="10"/>
  <c r="Q105" i="10" s="1"/>
  <c r="P104" i="10"/>
  <c r="Q104" i="10" s="1"/>
  <c r="P103" i="10"/>
  <c r="Q103" i="10" s="1"/>
  <c r="P102" i="10"/>
  <c r="Q102" i="10" s="1"/>
  <c r="P101" i="10"/>
  <c r="Q101" i="10" s="1"/>
  <c r="P100" i="10"/>
  <c r="Q100" i="10" s="1"/>
  <c r="P99" i="10"/>
  <c r="Q99" i="10" s="1"/>
  <c r="P98" i="10"/>
  <c r="Q98" i="10" s="1"/>
  <c r="P97" i="10"/>
  <c r="Q97" i="10" s="1"/>
  <c r="P96" i="10"/>
  <c r="Q96" i="10" s="1"/>
  <c r="P95" i="10"/>
  <c r="Q95" i="10" s="1"/>
  <c r="P94" i="10"/>
  <c r="Q94" i="10" s="1"/>
  <c r="P93" i="10"/>
  <c r="Q93" i="10" s="1"/>
  <c r="P92" i="10"/>
  <c r="Q92" i="10" s="1"/>
  <c r="P91" i="10"/>
  <c r="Q91" i="10" s="1"/>
  <c r="P90" i="10"/>
  <c r="Q90" i="10" s="1"/>
  <c r="P89" i="10"/>
  <c r="Q89" i="10" s="1"/>
  <c r="P88" i="10"/>
  <c r="Q88" i="10" s="1"/>
  <c r="P87" i="10"/>
  <c r="Q87" i="10" s="1"/>
  <c r="P86" i="10"/>
  <c r="Q86" i="10" s="1"/>
  <c r="P85" i="10"/>
  <c r="Q85" i="10" s="1"/>
  <c r="P84" i="10"/>
  <c r="Q84" i="10" s="1"/>
  <c r="P83" i="10"/>
  <c r="Q83" i="10" s="1"/>
  <c r="P82" i="10"/>
  <c r="Q82" i="10" s="1"/>
  <c r="P81" i="10"/>
  <c r="Q81" i="10" s="1"/>
  <c r="P80" i="10"/>
  <c r="Q80" i="10" s="1"/>
  <c r="P79" i="10"/>
  <c r="Q79" i="10" s="1"/>
  <c r="P78" i="10"/>
  <c r="Q78" i="10" s="1"/>
  <c r="P77" i="10"/>
  <c r="Q77" i="10" s="1"/>
  <c r="P76" i="10"/>
  <c r="Q76" i="10" s="1"/>
  <c r="P75" i="10"/>
  <c r="Q75" i="10" s="1"/>
  <c r="P74" i="10"/>
  <c r="Q74" i="10" s="1"/>
  <c r="P73" i="10"/>
  <c r="Q73" i="10" s="1"/>
  <c r="P72" i="10"/>
  <c r="Q72" i="10" s="1"/>
  <c r="P71" i="10"/>
  <c r="Q71" i="10" s="1"/>
  <c r="P70" i="10"/>
  <c r="Q70" i="10" s="1"/>
  <c r="P69" i="10"/>
  <c r="Q69" i="10" s="1"/>
  <c r="P68" i="10"/>
  <c r="Q68" i="10" s="1"/>
  <c r="P67" i="10"/>
  <c r="Q67" i="10" s="1"/>
  <c r="P66" i="10"/>
  <c r="Q66" i="10" s="1"/>
  <c r="P65" i="10"/>
  <c r="Q65" i="10" s="1"/>
  <c r="P64" i="10"/>
  <c r="Q64" i="10" s="1"/>
  <c r="P7" i="10"/>
  <c r="P12" i="10"/>
  <c r="P15" i="10"/>
  <c r="P21" i="10"/>
  <c r="P9" i="10"/>
  <c r="P10" i="10"/>
  <c r="P11" i="10"/>
  <c r="P13" i="10"/>
  <c r="P14" i="10"/>
  <c r="P16" i="10"/>
  <c r="P17" i="10"/>
  <c r="P18" i="10"/>
  <c r="P19" i="10"/>
  <c r="P20" i="10"/>
  <c r="P22" i="10"/>
  <c r="P23" i="10"/>
  <c r="P24" i="10"/>
  <c r="P25" i="10"/>
  <c r="P26" i="10"/>
  <c r="P27" i="10"/>
  <c r="P28" i="10"/>
  <c r="P8" i="10"/>
  <c r="J88" i="10"/>
  <c r="K88" i="10"/>
  <c r="L88" i="10"/>
  <c r="M88" i="10"/>
  <c r="N88" i="10"/>
  <c r="J89" i="10"/>
  <c r="K89" i="10"/>
  <c r="L89" i="10"/>
  <c r="M89" i="10"/>
  <c r="N89" i="10"/>
  <c r="J90" i="10"/>
  <c r="K90" i="10"/>
  <c r="L90" i="10"/>
  <c r="M90" i="10"/>
  <c r="N90" i="10"/>
  <c r="J91" i="10"/>
  <c r="K91" i="10"/>
  <c r="L91" i="10"/>
  <c r="M91" i="10"/>
  <c r="N91" i="10"/>
  <c r="J92" i="10"/>
  <c r="K92" i="10"/>
  <c r="L92" i="10"/>
  <c r="M92" i="10"/>
  <c r="N92" i="10"/>
  <c r="J93" i="10"/>
  <c r="K93" i="10"/>
  <c r="L93" i="10"/>
  <c r="M93" i="10"/>
  <c r="N93" i="10"/>
  <c r="J94" i="10"/>
  <c r="K94" i="10"/>
  <c r="L94" i="10"/>
  <c r="M94" i="10"/>
  <c r="N94" i="10"/>
  <c r="J95" i="10"/>
  <c r="K95" i="10"/>
  <c r="L95" i="10"/>
  <c r="M95" i="10"/>
  <c r="N95" i="10"/>
  <c r="J96" i="10"/>
  <c r="K96" i="10"/>
  <c r="L96" i="10"/>
  <c r="M96" i="10"/>
  <c r="N96" i="10"/>
  <c r="J97" i="10"/>
  <c r="K97" i="10"/>
  <c r="L97" i="10"/>
  <c r="M97" i="10"/>
  <c r="N97" i="10"/>
  <c r="J98" i="10"/>
  <c r="K98" i="10"/>
  <c r="L98" i="10"/>
  <c r="M98" i="10"/>
  <c r="N98" i="10"/>
  <c r="J99" i="10"/>
  <c r="K99" i="10"/>
  <c r="L99" i="10"/>
  <c r="M99" i="10"/>
  <c r="N99" i="10"/>
  <c r="J100" i="10"/>
  <c r="K100" i="10"/>
  <c r="L100" i="10"/>
  <c r="M100" i="10"/>
  <c r="N100" i="10"/>
  <c r="J101" i="10"/>
  <c r="K101" i="10"/>
  <c r="L101" i="10"/>
  <c r="M101" i="10"/>
  <c r="N101" i="10"/>
  <c r="J102" i="10"/>
  <c r="K102" i="10"/>
  <c r="L102" i="10"/>
  <c r="M102" i="10"/>
  <c r="N102" i="10"/>
  <c r="J103" i="10"/>
  <c r="K103" i="10"/>
  <c r="L103" i="10"/>
  <c r="M103" i="10"/>
  <c r="N103" i="10"/>
  <c r="J104" i="10"/>
  <c r="K104" i="10"/>
  <c r="L104" i="10"/>
  <c r="M104" i="10"/>
  <c r="N104" i="10"/>
  <c r="J105" i="10"/>
  <c r="K105" i="10"/>
  <c r="L105" i="10"/>
  <c r="M105" i="10"/>
  <c r="N105" i="10"/>
  <c r="J106" i="10"/>
  <c r="K106" i="10"/>
  <c r="L106" i="10"/>
  <c r="M106" i="10"/>
  <c r="N106" i="10"/>
  <c r="J107" i="10"/>
  <c r="K107" i="10"/>
  <c r="L107" i="10"/>
  <c r="M107" i="10"/>
  <c r="N107" i="10"/>
  <c r="J108" i="10"/>
  <c r="K108" i="10"/>
  <c r="L108" i="10"/>
  <c r="M108" i="10"/>
  <c r="N108" i="10"/>
  <c r="J109" i="10"/>
  <c r="K109" i="10"/>
  <c r="L109" i="10"/>
  <c r="M109" i="10"/>
  <c r="N109" i="10"/>
  <c r="J110" i="10"/>
  <c r="K110" i="10"/>
  <c r="L110" i="10"/>
  <c r="M110" i="10"/>
  <c r="N110" i="10"/>
  <c r="J111" i="10"/>
  <c r="K111" i="10"/>
  <c r="L111" i="10"/>
  <c r="M111" i="10"/>
  <c r="N111" i="10"/>
  <c r="J112" i="10"/>
  <c r="K112" i="10"/>
  <c r="L112" i="10"/>
  <c r="M112" i="10"/>
  <c r="N112" i="10"/>
  <c r="J113" i="10"/>
  <c r="K113" i="10"/>
  <c r="L113" i="10"/>
  <c r="M113" i="10"/>
  <c r="N113" i="10"/>
  <c r="J114" i="10"/>
  <c r="K114" i="10"/>
  <c r="L114" i="10"/>
  <c r="M114" i="10"/>
  <c r="N114" i="10"/>
  <c r="J115" i="10"/>
  <c r="K115" i="10"/>
  <c r="L115" i="10"/>
  <c r="M115" i="10"/>
  <c r="N115" i="10"/>
  <c r="J116" i="10"/>
  <c r="K116" i="10"/>
  <c r="L116" i="10"/>
  <c r="M116" i="10"/>
  <c r="N116" i="10"/>
  <c r="L64" i="10"/>
  <c r="M64" i="10"/>
  <c r="N64" i="10"/>
  <c r="L65" i="10"/>
  <c r="M65" i="10"/>
  <c r="N65" i="10"/>
  <c r="L66" i="10"/>
  <c r="M66" i="10"/>
  <c r="N66" i="10"/>
  <c r="L67" i="10"/>
  <c r="M67" i="10"/>
  <c r="N67" i="10"/>
  <c r="L68" i="10"/>
  <c r="M68" i="10"/>
  <c r="N68" i="10"/>
  <c r="L69" i="10"/>
  <c r="M69" i="10"/>
  <c r="N69" i="10"/>
  <c r="L70" i="10"/>
  <c r="M70" i="10"/>
  <c r="N70" i="10"/>
  <c r="L71" i="10"/>
  <c r="M71" i="10"/>
  <c r="N71" i="10"/>
  <c r="L72" i="10"/>
  <c r="M72" i="10"/>
  <c r="N72" i="10"/>
  <c r="L73" i="10"/>
  <c r="M73" i="10"/>
  <c r="N73" i="10"/>
  <c r="L74" i="10"/>
  <c r="M74" i="10"/>
  <c r="N74" i="10"/>
  <c r="L75" i="10"/>
  <c r="M75" i="10"/>
  <c r="N75" i="10"/>
  <c r="L76" i="10"/>
  <c r="M76" i="10"/>
  <c r="N76" i="10"/>
  <c r="L77" i="10"/>
  <c r="M77" i="10"/>
  <c r="N77" i="10"/>
  <c r="L78" i="10"/>
  <c r="M78" i="10"/>
  <c r="N78" i="10"/>
  <c r="L79" i="10"/>
  <c r="M79" i="10"/>
  <c r="N79" i="10"/>
  <c r="L80" i="10"/>
  <c r="M80" i="10"/>
  <c r="N80" i="10"/>
  <c r="L81" i="10"/>
  <c r="M81" i="10"/>
  <c r="N81" i="10"/>
  <c r="L82" i="10"/>
  <c r="M82" i="10"/>
  <c r="N82" i="10"/>
  <c r="L83" i="10"/>
  <c r="M83" i="10"/>
  <c r="N83" i="10"/>
  <c r="L84" i="10"/>
  <c r="M84" i="10"/>
  <c r="N84" i="10"/>
  <c r="L85" i="10"/>
  <c r="M85" i="10"/>
  <c r="N85" i="10"/>
  <c r="L86" i="10"/>
  <c r="M86" i="10"/>
  <c r="N86" i="10"/>
  <c r="L87" i="10"/>
  <c r="M87" i="10"/>
  <c r="N87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Q117" i="10" l="1"/>
  <c r="J54" i="10"/>
  <c r="J55" i="10"/>
  <c r="J56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4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20" i="10"/>
  <c r="C15" i="8" l="1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4" i="8"/>
  <c r="C5" i="8"/>
  <c r="C6" i="8"/>
  <c r="C7" i="8"/>
  <c r="C8" i="8"/>
  <c r="C9" i="8"/>
  <c r="C10" i="8"/>
  <c r="C11" i="8"/>
  <c r="C12" i="8"/>
  <c r="C13" i="8"/>
  <c r="C14" i="8"/>
  <c r="C3" i="8"/>
  <c r="A182" i="7" l="1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182" i="5" l="1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C103" i="4"/>
  <c r="C102" i="4"/>
  <c r="C101" i="4"/>
  <c r="C100" i="4"/>
  <c r="C99" i="4"/>
  <c r="C98" i="4"/>
  <c r="C97" i="4"/>
  <c r="C96" i="4"/>
  <c r="C95" i="4"/>
  <c r="C94" i="4"/>
  <c r="C154" i="3"/>
  <c r="C155" i="3"/>
  <c r="C156" i="3"/>
  <c r="C157" i="3"/>
  <c r="C158" i="3"/>
  <c r="C159" i="3"/>
  <c r="C160" i="3"/>
  <c r="C161" i="3"/>
  <c r="C162" i="3"/>
  <c r="C153" i="3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2"/>
</calcChain>
</file>

<file path=xl/sharedStrings.xml><?xml version="1.0" encoding="utf-8"?>
<sst xmlns="http://schemas.openxmlformats.org/spreadsheetml/2006/main" count="115" uniqueCount="82">
  <si>
    <t>speed of light:</t>
  </si>
  <si>
    <t>cm/s /1e9</t>
  </si>
  <si>
    <t>#rough IR blocker for 50 microns</t>
  </si>
  <si>
    <t>#rough IR blocker for 100 microns</t>
  </si>
  <si>
    <t xml:space="preserve"># K1888 Mustang 4cm-1 lpe (120GHz, 3K#2) measured up to   321 GHz                                         </t>
  </si>
  <si>
    <t xml:space="preserve"># K1889 Mustang 5cm-1 lpe  (150GHz 3K #1) measured up to ~300GHz   (freq/GHz, transmitted, reflected)                                              </t>
  </si>
  <si>
    <t>#PTFE transmision data from http://www.tydexoptics.com/products/thz_optics/thz_materials/ assume 1% reflection, GHz, transmitance, reflectance</t>
  </si>
  <si>
    <t>0.1mm thick sample</t>
  </si>
  <si>
    <t>GHz</t>
  </si>
  <si>
    <t>Transmitance</t>
  </si>
  <si>
    <t>Frequency (GHz)</t>
  </si>
  <si>
    <t>Absorption (cm^-1)</t>
  </si>
  <si>
    <t>#Polyamide Nylon 6 from Yun-sik et al :Journal Korean Physical Soc V 49 #2 2006 pp 513-517</t>
  </si>
  <si>
    <t>Polypropyline (PP) from same paper.</t>
  </si>
  <si>
    <t>absorption (cm^-1)</t>
  </si>
  <si>
    <t>Polyamide 6 from Piesiewicz et al, Int J IR + mm wave,  2007</t>
  </si>
  <si>
    <t>plain Polyamide from same paper</t>
  </si>
  <si>
    <t>0.3" = 7.62mm thick sample</t>
  </si>
  <si>
    <t>????????</t>
  </si>
  <si>
    <t>frequency (GHz)</t>
  </si>
  <si>
    <t>PTFE from same paper</t>
  </si>
  <si>
    <t>for 7.62mm sample</t>
  </si>
  <si>
    <t>.375" = 0.95cm</t>
  </si>
  <si>
    <t>Thickness (")</t>
  </si>
  <si>
    <t>40K (K1860)</t>
  </si>
  <si>
    <t>3K#1 K1889</t>
  </si>
  <si>
    <t>3K#2 K1888</t>
  </si>
  <si>
    <t>300mK K1887</t>
  </si>
  <si>
    <t>Data taken by graph to data routine from pdfs</t>
  </si>
  <si>
    <t>These lines are from the table</t>
  </si>
  <si>
    <t>fit to sigma</t>
  </si>
  <si>
    <t>err</t>
  </si>
  <si>
    <t>40K fit for plot</t>
  </si>
  <si>
    <t>a0</t>
  </si>
  <si>
    <t>a1</t>
  </si>
  <si>
    <t>a2</t>
  </si>
  <si>
    <t>a3</t>
  </si>
  <si>
    <t>a4</t>
  </si>
  <si>
    <t>a5</t>
  </si>
  <si>
    <t>a6</t>
  </si>
  <si>
    <t>a7</t>
  </si>
  <si>
    <t>tand delta</t>
  </si>
  <si>
    <t xml:space="preserve"> =&gt;</t>
  </si>
  <si>
    <t xml:space="preserve"> at lambda=</t>
  </si>
  <si>
    <t>mm</t>
  </si>
  <si>
    <t xml:space="preserve">with n = </t>
  </si>
  <si>
    <t xml:space="preserve">for </t>
  </si>
  <si>
    <t>thick</t>
  </si>
  <si>
    <t>Nylon from http://arxiv.org/pdf/0904.3069v1.pdf figure 1</t>
  </si>
  <si>
    <t>polycarbonate may be better….</t>
  </si>
  <si>
    <t>red points are lower limits from transmission of K1860</t>
  </si>
  <si>
    <t>K1860</t>
  </si>
  <si>
    <t>#GHz</t>
  </si>
  <si>
    <t>transmission</t>
  </si>
  <si>
    <t>reflection</t>
  </si>
  <si>
    <t xml:space="preserve"> reflection calculated using fitted values for the transmission of plane PP</t>
  </si>
  <si>
    <t>#measured bandpass up to 1000 GHz, assume only absorption/reflection above here</t>
  </si>
  <si>
    <t># GHz</t>
  </si>
  <si>
    <t>reflection calculated from (1- transmission of filter) - ( 1- transmission of PP)</t>
  </si>
  <si>
    <t>trans</t>
  </si>
  <si>
    <t>refl</t>
  </si>
  <si>
    <t>frequencies below 300GHz are just guesses</t>
  </si>
  <si>
    <t xml:space="preserve">reflection assuming refractive index of 1.53 </t>
  </si>
  <si>
    <t>#Nylon (=Polyamide 6) transmission from Piesiewicz et al, Int J IR + mm wave,  2007, other papers give very different values</t>
  </si>
  <si>
    <t>#assumed reflection of a mirror - used for array</t>
  </si>
  <si>
    <t>Transmission</t>
  </si>
  <si>
    <t>Fits to absorption from Halpern et al.    Applied optics V 25, pp565-570 1986</t>
  </si>
  <si>
    <t>Fits are alpha = a*v^b where v (the frequency) is in cm-1 and the results are the absorption coefficient (also cm^-1</t>
  </si>
  <si>
    <t>Range of fits = 2 -- 30 cm^-1</t>
  </si>
  <si>
    <t>Nylon @ 4.8K</t>
  </si>
  <si>
    <t>(rough guide only</t>
  </si>
  <si>
    <t>Florogold 4.8K</t>
  </si>
  <si>
    <t>a</t>
  </si>
  <si>
    <t>b</t>
  </si>
  <si>
    <t>Frequency</t>
  </si>
  <si>
    <t>cm^-1</t>
  </si>
  <si>
    <t>Nylon</t>
  </si>
  <si>
    <t>alpha</t>
  </si>
  <si>
    <t>0.375"</t>
  </si>
  <si>
    <t>Florogold</t>
  </si>
  <si>
    <t>.375"</t>
  </si>
  <si>
    <t xml:space="preserve"># K1887 Mustang 3.5cm-1 lpe   (105GHz lowpass for band)    measured tranmision up to 330GHz, assume zero transmission past here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</si>
</sst>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PTFE!$A$5:$A$63</c:f>
              <c:numCache>
                <c:formatCode>General</c:formatCode>
                <c:ptCount val="59"/>
                <c:pt idx="0">
                  <c:v>302.97298479364559</c:v>
                </c:pt>
                <c:pt idx="1">
                  <c:v>319.95859619005336</c:v>
                </c:pt>
                <c:pt idx="2">
                  <c:v>340.30931984209866</c:v>
                </c:pt>
                <c:pt idx="3">
                  <c:v>360.36496716641693</c:v>
                </c:pt>
                <c:pt idx="4">
                  <c:v>402.74976458000668</c:v>
                </c:pt>
                <c:pt idx="5">
                  <c:v>442.28490219775011</c:v>
                </c:pt>
                <c:pt idx="6">
                  <c:v>520.22977757451702</c:v>
                </c:pt>
                <c:pt idx="7">
                  <c:v>600.51465301624762</c:v>
                </c:pt>
                <c:pt idx="8">
                  <c:v>655.71089301432528</c:v>
                </c:pt>
                <c:pt idx="9">
                  <c:v>728.22334549521463</c:v>
                </c:pt>
                <c:pt idx="10">
                  <c:v>774.33195994685741</c:v>
                </c:pt>
                <c:pt idx="11">
                  <c:v>842.95437718843482</c:v>
                </c:pt>
                <c:pt idx="12">
                  <c:v>905.35875350228571</c:v>
                </c:pt>
                <c:pt idx="13">
                  <c:v>1000.5977920128705</c:v>
                </c:pt>
                <c:pt idx="14">
                  <c:v>1076.0618706968251</c:v>
                </c:pt>
                <c:pt idx="15">
                  <c:v>1213.3233073923334</c:v>
                </c:pt>
                <c:pt idx="16">
                  <c:v>1326.0934590275363</c:v>
                </c:pt>
                <c:pt idx="17">
                  <c:v>1368.4907628904855</c:v>
                </c:pt>
                <c:pt idx="18">
                  <c:v>1800.1408876401704</c:v>
                </c:pt>
                <c:pt idx="19">
                  <c:v>2712.8883698695486</c:v>
                </c:pt>
                <c:pt idx="20">
                  <c:v>3047.2075664911331</c:v>
                </c:pt>
                <c:pt idx="21">
                  <c:v>3140.173209268542</c:v>
                </c:pt>
                <c:pt idx="22">
                  <c:v>3238.9898707854913</c:v>
                </c:pt>
                <c:pt idx="23">
                  <c:v>3393.2274557477763</c:v>
                </c:pt>
                <c:pt idx="24">
                  <c:v>3647.0515858591721</c:v>
                </c:pt>
                <c:pt idx="25">
                  <c:v>3875.9460409976032</c:v>
                </c:pt>
                <c:pt idx="26">
                  <c:v>4496.8499775157497</c:v>
                </c:pt>
                <c:pt idx="27">
                  <c:v>4901.3285348631034</c:v>
                </c:pt>
                <c:pt idx="28">
                  <c:v>5146.3950162969177</c:v>
                </c:pt>
                <c:pt idx="29">
                  <c:v>5417.2578776297123</c:v>
                </c:pt>
                <c:pt idx="30">
                  <c:v>5718.216717495261</c:v>
                </c:pt>
                <c:pt idx="31">
                  <c:v>5826.1075108940477</c:v>
                </c:pt>
                <c:pt idx="32">
                  <c:v>5938.1480643616105</c:v>
                </c:pt>
                <c:pt idx="33">
                  <c:v>6134.7754861255526</c:v>
                </c:pt>
                <c:pt idx="34">
                  <c:v>6344.8705396881815</c:v>
                </c:pt>
                <c:pt idx="35">
                  <c:v>6569.8659518554332</c:v>
                </c:pt>
                <c:pt idx="36">
                  <c:v>7017.811298243123</c:v>
                </c:pt>
                <c:pt idx="37">
                  <c:v>7351.9928623942806</c:v>
                </c:pt>
                <c:pt idx="38">
                  <c:v>7784.4629970813521</c:v>
                </c:pt>
                <c:pt idx="39">
                  <c:v>7850.4331054013155</c:v>
                </c:pt>
                <c:pt idx="40">
                  <c:v>8055.2270601890086</c:v>
                </c:pt>
                <c:pt idx="41">
                  <c:v>8577.3250762428888</c:v>
                </c:pt>
                <c:pt idx="42">
                  <c:v>8993.7000899369996</c:v>
                </c:pt>
                <c:pt idx="43">
                  <c:v>9452.5623509981488</c:v>
                </c:pt>
                <c:pt idx="44">
                  <c:v>10179.68248246391</c:v>
                </c:pt>
                <c:pt idx="45">
                  <c:v>10408.439324673209</c:v>
                </c:pt>
                <c:pt idx="46">
                  <c:v>10898.248082718645</c:v>
                </c:pt>
                <c:pt idx="47">
                  <c:v>11579.388587888561</c:v>
                </c:pt>
                <c:pt idx="48">
                  <c:v>11725.963310435129</c:v>
                </c:pt>
                <c:pt idx="49">
                  <c:v>12351.34782708113</c:v>
                </c:pt>
                <c:pt idx="50">
                  <c:v>13622.810598627531</c:v>
                </c:pt>
                <c:pt idx="51">
                  <c:v>14035.622925047413</c:v>
                </c:pt>
                <c:pt idx="52">
                  <c:v>14474.236014394379</c:v>
                </c:pt>
                <c:pt idx="53">
                  <c:v>14703.985364190825</c:v>
                </c:pt>
                <c:pt idx="54">
                  <c:v>15700.866210802631</c:v>
                </c:pt>
                <c:pt idx="55">
                  <c:v>17814.44419308483</c:v>
                </c:pt>
                <c:pt idx="56">
                  <c:v>21543.048225987932</c:v>
                </c:pt>
                <c:pt idx="57">
                  <c:v>22593.929973664155</c:v>
                </c:pt>
                <c:pt idx="58">
                  <c:v>28071.244535850175</c:v>
                </c:pt>
              </c:numCache>
            </c:numRef>
          </c:xVal>
          <c:yVal>
            <c:numRef>
              <c:f>PTFE!$B$5:$B$63</c:f>
              <c:numCache>
                <c:formatCode>General</c:formatCode>
                <c:ptCount val="59"/>
                <c:pt idx="0">
                  <c:v>0.99063199999999996</c:v>
                </c:pt>
                <c:pt idx="1">
                  <c:v>0.99297400000000002</c:v>
                </c:pt>
                <c:pt idx="2">
                  <c:v>0.97892299999999999</c:v>
                </c:pt>
                <c:pt idx="3">
                  <c:v>0.95550400000000002</c:v>
                </c:pt>
                <c:pt idx="4">
                  <c:v>0.91803299999999999</c:v>
                </c:pt>
                <c:pt idx="5">
                  <c:v>0.90632299999999999</c:v>
                </c:pt>
                <c:pt idx="6">
                  <c:v>0.91569100000000003</c:v>
                </c:pt>
                <c:pt idx="7">
                  <c:v>0.91803299999999999</c:v>
                </c:pt>
                <c:pt idx="8">
                  <c:v>0.89695599999999998</c:v>
                </c:pt>
                <c:pt idx="9">
                  <c:v>0.85480100000000003</c:v>
                </c:pt>
                <c:pt idx="10">
                  <c:v>0.87587800000000005</c:v>
                </c:pt>
                <c:pt idx="11">
                  <c:v>0.89695599999999998</c:v>
                </c:pt>
                <c:pt idx="12">
                  <c:v>0.87119400000000002</c:v>
                </c:pt>
                <c:pt idx="13">
                  <c:v>0.85948500000000005</c:v>
                </c:pt>
                <c:pt idx="14">
                  <c:v>0.94613599999999998</c:v>
                </c:pt>
                <c:pt idx="15">
                  <c:v>0.97189700000000001</c:v>
                </c:pt>
                <c:pt idx="16">
                  <c:v>0.93911</c:v>
                </c:pt>
                <c:pt idx="17">
                  <c:v>0.88758800000000004</c:v>
                </c:pt>
                <c:pt idx="18">
                  <c:v>0.87353599999999998</c:v>
                </c:pt>
                <c:pt idx="19">
                  <c:v>0.86651100000000003</c:v>
                </c:pt>
                <c:pt idx="20">
                  <c:v>0.89227199999999995</c:v>
                </c:pt>
                <c:pt idx="21">
                  <c:v>0.92037500000000005</c:v>
                </c:pt>
                <c:pt idx="22">
                  <c:v>0.9274</c:v>
                </c:pt>
                <c:pt idx="23">
                  <c:v>0.90398100000000003</c:v>
                </c:pt>
                <c:pt idx="24">
                  <c:v>0.89695599999999998</c:v>
                </c:pt>
                <c:pt idx="25">
                  <c:v>0.88056199999999996</c:v>
                </c:pt>
                <c:pt idx="26">
                  <c:v>0.84074899999999997</c:v>
                </c:pt>
                <c:pt idx="27">
                  <c:v>0.83372400000000002</c:v>
                </c:pt>
                <c:pt idx="28">
                  <c:v>0.88758800000000004</c:v>
                </c:pt>
                <c:pt idx="29">
                  <c:v>0.87822</c:v>
                </c:pt>
                <c:pt idx="30">
                  <c:v>0.73302100000000003</c:v>
                </c:pt>
                <c:pt idx="31">
                  <c:v>0.59016400000000002</c:v>
                </c:pt>
                <c:pt idx="32">
                  <c:v>0.43091299999999999</c:v>
                </c:pt>
                <c:pt idx="33">
                  <c:v>0.274005</c:v>
                </c:pt>
                <c:pt idx="34">
                  <c:v>0.494145</c:v>
                </c:pt>
                <c:pt idx="35">
                  <c:v>0.67213100000000003</c:v>
                </c:pt>
                <c:pt idx="36">
                  <c:v>0.79156899999999997</c:v>
                </c:pt>
                <c:pt idx="37">
                  <c:v>0.82669800000000004</c:v>
                </c:pt>
                <c:pt idx="38">
                  <c:v>0.78454299999999999</c:v>
                </c:pt>
                <c:pt idx="39">
                  <c:v>0.69086700000000001</c:v>
                </c:pt>
                <c:pt idx="40">
                  <c:v>0.59719</c:v>
                </c:pt>
                <c:pt idx="41">
                  <c:v>0.71897</c:v>
                </c:pt>
                <c:pt idx="42">
                  <c:v>0.82435599999999998</c:v>
                </c:pt>
                <c:pt idx="43">
                  <c:v>0.82669800000000004</c:v>
                </c:pt>
                <c:pt idx="44">
                  <c:v>0.77517599999999998</c:v>
                </c:pt>
                <c:pt idx="45">
                  <c:v>0.83606599999999998</c:v>
                </c:pt>
                <c:pt idx="46">
                  <c:v>0.88993</c:v>
                </c:pt>
                <c:pt idx="47">
                  <c:v>0.79156899999999997</c:v>
                </c:pt>
                <c:pt idx="48">
                  <c:v>0.71662800000000004</c:v>
                </c:pt>
                <c:pt idx="49">
                  <c:v>0.77517599999999998</c:v>
                </c:pt>
                <c:pt idx="50">
                  <c:v>0.63466</c:v>
                </c:pt>
                <c:pt idx="51">
                  <c:v>0.4637</c:v>
                </c:pt>
                <c:pt idx="52">
                  <c:v>0.28103</c:v>
                </c:pt>
                <c:pt idx="53">
                  <c:v>9.3676999999999996E-2</c:v>
                </c:pt>
                <c:pt idx="54">
                  <c:v>2.3418999999999999E-2</c:v>
                </c:pt>
                <c:pt idx="55">
                  <c:v>0.112412</c:v>
                </c:pt>
                <c:pt idx="56">
                  <c:v>0.189696</c:v>
                </c:pt>
                <c:pt idx="57">
                  <c:v>6.7916000000000004E-2</c:v>
                </c:pt>
                <c:pt idx="58">
                  <c:v>7.0260000000000001E-3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73312"/>
        <c:axId val="140815360"/>
      </c:scatterChart>
      <c:valAx>
        <c:axId val="14057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815360"/>
        <c:crosses val="autoZero"/>
        <c:crossBetween val="midCat"/>
      </c:valAx>
      <c:valAx>
        <c:axId val="14081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573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PTFE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THz Materials.pdf (0.1mm)</c:v>
          </c:tx>
          <c:marker>
            <c:symbol val="none"/>
          </c:marker>
          <c:xVal>
            <c:numRef>
              <c:f>Data!$A$4:$A$62</c:f>
              <c:numCache>
                <c:formatCode>General</c:formatCode>
                <c:ptCount val="59"/>
                <c:pt idx="0">
                  <c:v>302.97298479364559</c:v>
                </c:pt>
                <c:pt idx="1">
                  <c:v>319.95859619005336</c:v>
                </c:pt>
                <c:pt idx="2">
                  <c:v>340.30931984209866</c:v>
                </c:pt>
                <c:pt idx="3">
                  <c:v>360.36496716641693</c:v>
                </c:pt>
                <c:pt idx="4">
                  <c:v>402.74976458000668</c:v>
                </c:pt>
                <c:pt idx="5">
                  <c:v>442.28490219775011</c:v>
                </c:pt>
                <c:pt idx="6">
                  <c:v>520.22977757451702</c:v>
                </c:pt>
                <c:pt idx="7">
                  <c:v>600.51465301624762</c:v>
                </c:pt>
                <c:pt idx="8">
                  <c:v>655.71089301432528</c:v>
                </c:pt>
                <c:pt idx="9">
                  <c:v>728.22334549521463</c:v>
                </c:pt>
                <c:pt idx="10">
                  <c:v>774.33195994685741</c:v>
                </c:pt>
                <c:pt idx="11">
                  <c:v>842.95437718843482</c:v>
                </c:pt>
                <c:pt idx="12">
                  <c:v>905.35875350228571</c:v>
                </c:pt>
                <c:pt idx="13">
                  <c:v>1000.5977920128705</c:v>
                </c:pt>
                <c:pt idx="14">
                  <c:v>1076.0618706968251</c:v>
                </c:pt>
                <c:pt idx="15">
                  <c:v>1213.3233073923334</c:v>
                </c:pt>
                <c:pt idx="16">
                  <c:v>1326.0934590275363</c:v>
                </c:pt>
                <c:pt idx="17">
                  <c:v>1368.4907628904855</c:v>
                </c:pt>
                <c:pt idx="18">
                  <c:v>1800.1408876401704</c:v>
                </c:pt>
                <c:pt idx="19">
                  <c:v>2712.8883698695486</c:v>
                </c:pt>
                <c:pt idx="20">
                  <c:v>3047.2075664911331</c:v>
                </c:pt>
                <c:pt idx="21">
                  <c:v>3140.173209268542</c:v>
                </c:pt>
                <c:pt idx="22">
                  <c:v>3238.9898707854913</c:v>
                </c:pt>
                <c:pt idx="23">
                  <c:v>3393.2274557477763</c:v>
                </c:pt>
                <c:pt idx="24">
                  <c:v>3647.0515858591721</c:v>
                </c:pt>
                <c:pt idx="25">
                  <c:v>3875.9460409976032</c:v>
                </c:pt>
                <c:pt idx="26">
                  <c:v>4496.8499775157497</c:v>
                </c:pt>
                <c:pt idx="27">
                  <c:v>4901.3285348631034</c:v>
                </c:pt>
                <c:pt idx="28">
                  <c:v>5146.3950162969177</c:v>
                </c:pt>
                <c:pt idx="29">
                  <c:v>5417.2578776297123</c:v>
                </c:pt>
                <c:pt idx="30">
                  <c:v>5718.216717495261</c:v>
                </c:pt>
                <c:pt idx="31">
                  <c:v>5826.1075108940477</c:v>
                </c:pt>
                <c:pt idx="32">
                  <c:v>5938.1480643616105</c:v>
                </c:pt>
                <c:pt idx="33">
                  <c:v>6134.7754861255526</c:v>
                </c:pt>
                <c:pt idx="34">
                  <c:v>6344.8705396881815</c:v>
                </c:pt>
                <c:pt idx="35">
                  <c:v>6569.8659518554332</c:v>
                </c:pt>
                <c:pt idx="36">
                  <c:v>7017.811298243123</c:v>
                </c:pt>
                <c:pt idx="37">
                  <c:v>7351.9928623942806</c:v>
                </c:pt>
                <c:pt idx="38">
                  <c:v>7784.4629970813521</c:v>
                </c:pt>
                <c:pt idx="39">
                  <c:v>7850.4331054013155</c:v>
                </c:pt>
                <c:pt idx="40">
                  <c:v>8055.2270601890086</c:v>
                </c:pt>
                <c:pt idx="41">
                  <c:v>8577.3250762428888</c:v>
                </c:pt>
                <c:pt idx="42">
                  <c:v>8993.7000899369996</c:v>
                </c:pt>
                <c:pt idx="43">
                  <c:v>9452.5623509981488</c:v>
                </c:pt>
                <c:pt idx="44">
                  <c:v>10179.68248246391</c:v>
                </c:pt>
                <c:pt idx="45">
                  <c:v>10408.439324673209</c:v>
                </c:pt>
                <c:pt idx="46">
                  <c:v>10898.248082718645</c:v>
                </c:pt>
                <c:pt idx="47">
                  <c:v>11579.388587888561</c:v>
                </c:pt>
                <c:pt idx="48">
                  <c:v>11725.963310435129</c:v>
                </c:pt>
                <c:pt idx="49">
                  <c:v>12351.34782708113</c:v>
                </c:pt>
                <c:pt idx="50">
                  <c:v>13622.810598627531</c:v>
                </c:pt>
                <c:pt idx="51">
                  <c:v>14035.622925047413</c:v>
                </c:pt>
                <c:pt idx="52">
                  <c:v>14474.236014394379</c:v>
                </c:pt>
                <c:pt idx="53">
                  <c:v>14703.985364190825</c:v>
                </c:pt>
                <c:pt idx="54">
                  <c:v>15700.866210802631</c:v>
                </c:pt>
                <c:pt idx="55">
                  <c:v>17814.44419308483</c:v>
                </c:pt>
                <c:pt idx="56">
                  <c:v>21543.048225987932</c:v>
                </c:pt>
                <c:pt idx="57">
                  <c:v>22593.929973664155</c:v>
                </c:pt>
                <c:pt idx="58">
                  <c:v>28071.244535850175</c:v>
                </c:pt>
              </c:numCache>
            </c:numRef>
          </c:xVal>
          <c:yVal>
            <c:numRef>
              <c:f>Data!$B$4:$B$62</c:f>
              <c:numCache>
                <c:formatCode>General</c:formatCode>
                <c:ptCount val="59"/>
                <c:pt idx="0">
                  <c:v>0.99063199999999996</c:v>
                </c:pt>
                <c:pt idx="1">
                  <c:v>0.99297400000000002</c:v>
                </c:pt>
                <c:pt idx="2">
                  <c:v>0.97892299999999999</c:v>
                </c:pt>
                <c:pt idx="3">
                  <c:v>0.95550400000000002</c:v>
                </c:pt>
                <c:pt idx="4">
                  <c:v>0.91803299999999999</c:v>
                </c:pt>
                <c:pt idx="5">
                  <c:v>0.90632299999999999</c:v>
                </c:pt>
                <c:pt idx="6">
                  <c:v>0.91569100000000003</c:v>
                </c:pt>
                <c:pt idx="7">
                  <c:v>0.91803299999999999</c:v>
                </c:pt>
                <c:pt idx="8">
                  <c:v>0.89695599999999998</c:v>
                </c:pt>
                <c:pt idx="9">
                  <c:v>0.85480100000000003</c:v>
                </c:pt>
                <c:pt idx="10">
                  <c:v>0.87587800000000005</c:v>
                </c:pt>
                <c:pt idx="11">
                  <c:v>0.89695599999999998</c:v>
                </c:pt>
                <c:pt idx="12">
                  <c:v>0.87119400000000002</c:v>
                </c:pt>
                <c:pt idx="13">
                  <c:v>0.85948500000000005</c:v>
                </c:pt>
                <c:pt idx="14">
                  <c:v>0.94613599999999998</c:v>
                </c:pt>
                <c:pt idx="15">
                  <c:v>0.97189700000000001</c:v>
                </c:pt>
                <c:pt idx="16">
                  <c:v>0.93911</c:v>
                </c:pt>
                <c:pt idx="17">
                  <c:v>0.88758800000000004</c:v>
                </c:pt>
                <c:pt idx="18">
                  <c:v>0.87353599999999998</c:v>
                </c:pt>
                <c:pt idx="19">
                  <c:v>0.86651100000000003</c:v>
                </c:pt>
                <c:pt idx="20">
                  <c:v>0.89227199999999995</c:v>
                </c:pt>
                <c:pt idx="21">
                  <c:v>0.92037500000000005</c:v>
                </c:pt>
                <c:pt idx="22">
                  <c:v>0.9274</c:v>
                </c:pt>
                <c:pt idx="23">
                  <c:v>0.90398100000000003</c:v>
                </c:pt>
                <c:pt idx="24">
                  <c:v>0.89695599999999998</c:v>
                </c:pt>
                <c:pt idx="25">
                  <c:v>0.88056199999999996</c:v>
                </c:pt>
                <c:pt idx="26">
                  <c:v>0.84074899999999997</c:v>
                </c:pt>
                <c:pt idx="27">
                  <c:v>0.83372400000000002</c:v>
                </c:pt>
                <c:pt idx="28">
                  <c:v>0.88758800000000004</c:v>
                </c:pt>
                <c:pt idx="29">
                  <c:v>0.87822</c:v>
                </c:pt>
                <c:pt idx="30">
                  <c:v>0.73302100000000003</c:v>
                </c:pt>
                <c:pt idx="31">
                  <c:v>0.59016400000000002</c:v>
                </c:pt>
                <c:pt idx="32">
                  <c:v>0.43091299999999999</c:v>
                </c:pt>
                <c:pt idx="33">
                  <c:v>0.274005</c:v>
                </c:pt>
                <c:pt idx="34">
                  <c:v>0.494145</c:v>
                </c:pt>
                <c:pt idx="35">
                  <c:v>0.67213100000000003</c:v>
                </c:pt>
                <c:pt idx="36">
                  <c:v>0.79156899999999997</c:v>
                </c:pt>
                <c:pt idx="37">
                  <c:v>0.82669800000000004</c:v>
                </c:pt>
                <c:pt idx="38">
                  <c:v>0.78454299999999999</c:v>
                </c:pt>
                <c:pt idx="39">
                  <c:v>0.69086700000000001</c:v>
                </c:pt>
                <c:pt idx="40">
                  <c:v>0.59719</c:v>
                </c:pt>
                <c:pt idx="41">
                  <c:v>0.71897</c:v>
                </c:pt>
                <c:pt idx="42">
                  <c:v>0.82435599999999998</c:v>
                </c:pt>
                <c:pt idx="43">
                  <c:v>0.82669800000000004</c:v>
                </c:pt>
                <c:pt idx="44">
                  <c:v>0.77517599999999998</c:v>
                </c:pt>
                <c:pt idx="45">
                  <c:v>0.83606599999999998</c:v>
                </c:pt>
                <c:pt idx="46">
                  <c:v>0.88993</c:v>
                </c:pt>
                <c:pt idx="47">
                  <c:v>0.79156899999999997</c:v>
                </c:pt>
                <c:pt idx="48">
                  <c:v>0.71662800000000004</c:v>
                </c:pt>
                <c:pt idx="49">
                  <c:v>0.77517599999999998</c:v>
                </c:pt>
                <c:pt idx="50">
                  <c:v>0.63466</c:v>
                </c:pt>
                <c:pt idx="51">
                  <c:v>0.4637</c:v>
                </c:pt>
                <c:pt idx="52">
                  <c:v>0.28103</c:v>
                </c:pt>
                <c:pt idx="53">
                  <c:v>9.3676999999999996E-2</c:v>
                </c:pt>
                <c:pt idx="54">
                  <c:v>2.3418999999999999E-2</c:v>
                </c:pt>
                <c:pt idx="55">
                  <c:v>0.112412</c:v>
                </c:pt>
                <c:pt idx="56">
                  <c:v>0.189696</c:v>
                </c:pt>
                <c:pt idx="57">
                  <c:v>6.7916000000000004E-2</c:v>
                </c:pt>
                <c:pt idx="58">
                  <c:v>7.0260000000000001E-3</c:v>
                </c:pt>
              </c:numCache>
            </c:numRef>
          </c:yVal>
          <c:smooth val="1"/>
        </c:ser>
        <c:ser>
          <c:idx val="1"/>
          <c:order val="1"/>
          <c:tx>
            <c:v>Yun-sik data 7.62mm</c:v>
          </c:tx>
          <c:marker>
            <c:symbol val="none"/>
          </c:marker>
          <c:xVal>
            <c:numRef>
              <c:f>Data!$G$120:$G$174</c:f>
              <c:numCache>
                <c:formatCode>General</c:formatCode>
                <c:ptCount val="55"/>
                <c:pt idx="0">
                  <c:v>173.471204</c:v>
                </c:pt>
                <c:pt idx="1">
                  <c:v>205.955276</c:v>
                </c:pt>
                <c:pt idx="2">
                  <c:v>234.69145399999999</c:v>
                </c:pt>
                <c:pt idx="3">
                  <c:v>263.17684400000002</c:v>
                </c:pt>
                <c:pt idx="4">
                  <c:v>295.16630600000002</c:v>
                </c:pt>
                <c:pt idx="5">
                  <c:v>323.68652700000001</c:v>
                </c:pt>
                <c:pt idx="6">
                  <c:v>348.786272</c:v>
                </c:pt>
                <c:pt idx="7">
                  <c:v>381.05438800000002</c:v>
                </c:pt>
                <c:pt idx="8">
                  <c:v>413.23890799999998</c:v>
                </c:pt>
                <c:pt idx="9">
                  <c:v>441.78002800000002</c:v>
                </c:pt>
                <c:pt idx="10">
                  <c:v>531.12341800000002</c:v>
                </c:pt>
                <c:pt idx="11">
                  <c:v>556.08383700000002</c:v>
                </c:pt>
                <c:pt idx="12">
                  <c:v>584.61799099999996</c:v>
                </c:pt>
                <c:pt idx="13">
                  <c:v>609.62020700000005</c:v>
                </c:pt>
                <c:pt idx="14">
                  <c:v>673.94048199999997</c:v>
                </c:pt>
                <c:pt idx="15">
                  <c:v>727.44898699999999</c:v>
                </c:pt>
                <c:pt idx="16">
                  <c:v>788.19552599999997</c:v>
                </c:pt>
                <c:pt idx="17">
                  <c:v>820.310382</c:v>
                </c:pt>
                <c:pt idx="18">
                  <c:v>877.25329599999998</c:v>
                </c:pt>
                <c:pt idx="19">
                  <c:v>902.19978200000003</c:v>
                </c:pt>
                <c:pt idx="20">
                  <c:v>934.37036899999998</c:v>
                </c:pt>
                <c:pt idx="21">
                  <c:v>962.99508600000001</c:v>
                </c:pt>
                <c:pt idx="22">
                  <c:v>991.64766799999995</c:v>
                </c:pt>
                <c:pt idx="23">
                  <c:v>1048.792606</c:v>
                </c:pt>
                <c:pt idx="24">
                  <c:v>1113.0780480000001</c:v>
                </c:pt>
                <c:pt idx="25">
                  <c:v>1170.222986</c:v>
                </c:pt>
                <c:pt idx="26">
                  <c:v>1230.9137949999999</c:v>
                </c:pt>
                <c:pt idx="27">
                  <c:v>1284.443199</c:v>
                </c:pt>
                <c:pt idx="28">
                  <c:v>1320.159656</c:v>
                </c:pt>
                <c:pt idx="29">
                  <c:v>1373.7447910000001</c:v>
                </c:pt>
                <c:pt idx="30">
                  <c:v>1402.2998439999999</c:v>
                </c:pt>
                <c:pt idx="31">
                  <c:v>1462.955821</c:v>
                </c:pt>
                <c:pt idx="32">
                  <c:v>1495.0637099999999</c:v>
                </c:pt>
                <c:pt idx="33">
                  <c:v>1552.2156150000001</c:v>
                </c:pt>
                <c:pt idx="34">
                  <c:v>1605.821649</c:v>
                </c:pt>
                <c:pt idx="35">
                  <c:v>1684.4159669999999</c:v>
                </c:pt>
                <c:pt idx="36">
                  <c:v>1777.2634290000001</c:v>
                </c:pt>
                <c:pt idx="37">
                  <c:v>1845.1156410000001</c:v>
                </c:pt>
                <c:pt idx="38">
                  <c:v>1916.5903539999999</c:v>
                </c:pt>
                <c:pt idx="39">
                  <c:v>2012.990652</c:v>
                </c:pt>
                <c:pt idx="40">
                  <c:v>2070.156489</c:v>
                </c:pt>
                <c:pt idx="41">
                  <c:v>2130.8124659999999</c:v>
                </c:pt>
                <c:pt idx="42">
                  <c:v>2187.992236</c:v>
                </c:pt>
                <c:pt idx="43">
                  <c:v>2280.87453</c:v>
                </c:pt>
                <c:pt idx="44">
                  <c:v>2341.5444389999998</c:v>
                </c:pt>
                <c:pt idx="45">
                  <c:v>2391.5976369999998</c:v>
                </c:pt>
                <c:pt idx="46">
                  <c:v>2455.8970119999999</c:v>
                </c:pt>
                <c:pt idx="47">
                  <c:v>2480.8992290000001</c:v>
                </c:pt>
                <c:pt idx="48">
                  <c:v>2516.6853489999999</c:v>
                </c:pt>
                <c:pt idx="49">
                  <c:v>2541.7920610000001</c:v>
                </c:pt>
                <c:pt idx="50">
                  <c:v>2599.0554269999998</c:v>
                </c:pt>
                <c:pt idx="51">
                  <c:v>2631.1702829999999</c:v>
                </c:pt>
                <c:pt idx="52">
                  <c:v>2659.7392690000001</c:v>
                </c:pt>
                <c:pt idx="53">
                  <c:v>2688.363985</c:v>
                </c:pt>
                <c:pt idx="54">
                  <c:v>2688.363985</c:v>
                </c:pt>
              </c:numCache>
            </c:numRef>
          </c:xVal>
          <c:yVal>
            <c:numRef>
              <c:f>Data!$J$120:$J$174</c:f>
              <c:numCache>
                <c:formatCode>General</c:formatCode>
                <c:ptCount val="55"/>
                <c:pt idx="0">
                  <c:v>0.26887698467970195</c:v>
                </c:pt>
                <c:pt idx="1">
                  <c:v>0.35724753433051309</c:v>
                </c:pt>
                <c:pt idx="2">
                  <c:v>0.4067157168465248</c:v>
                </c:pt>
                <c:pt idx="3">
                  <c:v>0.37067162875513576</c:v>
                </c:pt>
                <c:pt idx="4">
                  <c:v>0.31757245943322215</c:v>
                </c:pt>
                <c:pt idx="5">
                  <c:v>0.29851181490843626</c:v>
                </c:pt>
                <c:pt idx="6">
                  <c:v>0.32146408251685715</c:v>
                </c:pt>
                <c:pt idx="7">
                  <c:v>0.35265093851855001</c:v>
                </c:pt>
                <c:pt idx="8">
                  <c:v>0.35921100769249215</c:v>
                </c:pt>
                <c:pt idx="9">
                  <c:v>0.34396974570789429</c:v>
                </c:pt>
                <c:pt idx="10">
                  <c:v>0.34386596780756939</c:v>
                </c:pt>
                <c:pt idx="11">
                  <c:v>0.32725094319873305</c:v>
                </c:pt>
                <c:pt idx="12">
                  <c:v>0.31143493156700225</c:v>
                </c:pt>
                <c:pt idx="13">
                  <c:v>0.30758314624279454</c:v>
                </c:pt>
                <c:pt idx="14">
                  <c:v>0.30562205279684612</c:v>
                </c:pt>
                <c:pt idx="15">
                  <c:v>0.28024026737512342</c:v>
                </c:pt>
                <c:pt idx="16">
                  <c:v>0.27845668982670269</c:v>
                </c:pt>
                <c:pt idx="17">
                  <c:v>0.26663836576382272</c:v>
                </c:pt>
                <c:pt idx="18">
                  <c:v>0.21606461251827208</c:v>
                </c:pt>
                <c:pt idx="19">
                  <c:v>0.20309877295389323</c:v>
                </c:pt>
                <c:pt idx="20">
                  <c:v>0.20433566187083552</c:v>
                </c:pt>
                <c:pt idx="21">
                  <c:v>0.21072809538303475</c:v>
                </c:pt>
                <c:pt idx="22">
                  <c:v>0.2227594627615945</c:v>
                </c:pt>
                <c:pt idx="23">
                  <c:v>0.21593985049683084</c:v>
                </c:pt>
                <c:pt idx="24">
                  <c:v>0.20803415750275481</c:v>
                </c:pt>
                <c:pt idx="25">
                  <c:v>0.20166519563861185</c:v>
                </c:pt>
                <c:pt idx="26">
                  <c:v>0.19071572965634317</c:v>
                </c:pt>
                <c:pt idx="27">
                  <c:v>0.17814936559656111</c:v>
                </c:pt>
                <c:pt idx="28">
                  <c:v>0.17485581376696252</c:v>
                </c:pt>
                <c:pt idx="29">
                  <c:v>0.17161268993368339</c:v>
                </c:pt>
                <c:pt idx="30">
                  <c:v>0.16637487060469938</c:v>
                </c:pt>
                <c:pt idx="31">
                  <c:v>0.15255390255647544</c:v>
                </c:pt>
                <c:pt idx="32">
                  <c:v>0.14517921474171541</c:v>
                </c:pt>
                <c:pt idx="33">
                  <c:v>0.14160696288709568</c:v>
                </c:pt>
                <c:pt idx="34">
                  <c:v>0.14158139182829946</c:v>
                </c:pt>
                <c:pt idx="35">
                  <c:v>0.13808777600732602</c:v>
                </c:pt>
                <c:pt idx="36">
                  <c:v>0.12977158582932574</c:v>
                </c:pt>
                <c:pt idx="37">
                  <c:v>0.12424882981968123</c:v>
                </c:pt>
                <c:pt idx="38">
                  <c:v>0.12421891529718462</c:v>
                </c:pt>
                <c:pt idx="39">
                  <c:v>0.11459207072232122</c:v>
                </c:pt>
                <c:pt idx="40">
                  <c:v>0.11316265233726223</c:v>
                </c:pt>
                <c:pt idx="41">
                  <c:v>0.10376201057429622</c:v>
                </c:pt>
                <c:pt idx="42">
                  <c:v>0.10374200863943416</c:v>
                </c:pt>
                <c:pt idx="43">
                  <c:v>0.10055391858662216</c:v>
                </c:pt>
                <c:pt idx="44">
                  <c:v>9.334741900100893E-2</c:v>
                </c:pt>
                <c:pt idx="45">
                  <c:v>9.5078158935307674E-2</c:v>
                </c:pt>
                <c:pt idx="46">
                  <c:v>9.2736564048396919E-2</c:v>
                </c:pt>
                <c:pt idx="47">
                  <c:v>9.1589610703690941E-2</c:v>
                </c:pt>
                <c:pt idx="48">
                  <c:v>9.5627239643615747E-2</c:v>
                </c:pt>
                <c:pt idx="49">
                  <c:v>0.10361836691975422</c:v>
                </c:pt>
                <c:pt idx="50">
                  <c:v>0.11157340364840354</c:v>
                </c:pt>
                <c:pt idx="51">
                  <c:v>0.10683806052334581</c:v>
                </c:pt>
                <c:pt idx="52">
                  <c:v>0.10486535972427798</c:v>
                </c:pt>
                <c:pt idx="53">
                  <c:v>0.10814588351980309</c:v>
                </c:pt>
                <c:pt idx="54">
                  <c:v>0.10814588351980309</c:v>
                </c:pt>
              </c:numCache>
            </c:numRef>
          </c:yVal>
          <c:smooth val="1"/>
        </c:ser>
        <c:ser>
          <c:idx val="2"/>
          <c:order val="2"/>
          <c:tx>
            <c:v>THz Materials.pdf scaled ^2*7.62</c:v>
          </c:tx>
          <c:marker>
            <c:symbol val="none"/>
          </c:marker>
          <c:xVal>
            <c:numRef>
              <c:f>Data!$A$4:$A$62</c:f>
              <c:numCache>
                <c:formatCode>General</c:formatCode>
                <c:ptCount val="59"/>
                <c:pt idx="0">
                  <c:v>302.97298479364559</c:v>
                </c:pt>
                <c:pt idx="1">
                  <c:v>319.95859619005336</c:v>
                </c:pt>
                <c:pt idx="2">
                  <c:v>340.30931984209866</c:v>
                </c:pt>
                <c:pt idx="3">
                  <c:v>360.36496716641693</c:v>
                </c:pt>
                <c:pt idx="4">
                  <c:v>402.74976458000668</c:v>
                </c:pt>
                <c:pt idx="5">
                  <c:v>442.28490219775011</c:v>
                </c:pt>
                <c:pt idx="6">
                  <c:v>520.22977757451702</c:v>
                </c:pt>
                <c:pt idx="7">
                  <c:v>600.51465301624762</c:v>
                </c:pt>
                <c:pt idx="8">
                  <c:v>655.71089301432528</c:v>
                </c:pt>
                <c:pt idx="9">
                  <c:v>728.22334549521463</c:v>
                </c:pt>
                <c:pt idx="10">
                  <c:v>774.33195994685741</c:v>
                </c:pt>
                <c:pt idx="11">
                  <c:v>842.95437718843482</c:v>
                </c:pt>
                <c:pt idx="12">
                  <c:v>905.35875350228571</c:v>
                </c:pt>
                <c:pt idx="13">
                  <c:v>1000.5977920128705</c:v>
                </c:pt>
                <c:pt idx="14">
                  <c:v>1076.0618706968251</c:v>
                </c:pt>
                <c:pt idx="15">
                  <c:v>1213.3233073923334</c:v>
                </c:pt>
                <c:pt idx="16">
                  <c:v>1326.0934590275363</c:v>
                </c:pt>
                <c:pt idx="17">
                  <c:v>1368.4907628904855</c:v>
                </c:pt>
                <c:pt idx="18">
                  <c:v>1800.1408876401704</c:v>
                </c:pt>
                <c:pt idx="19">
                  <c:v>2712.8883698695486</c:v>
                </c:pt>
                <c:pt idx="20">
                  <c:v>3047.2075664911331</c:v>
                </c:pt>
                <c:pt idx="21">
                  <c:v>3140.173209268542</c:v>
                </c:pt>
                <c:pt idx="22">
                  <c:v>3238.9898707854913</c:v>
                </c:pt>
                <c:pt idx="23">
                  <c:v>3393.2274557477763</c:v>
                </c:pt>
                <c:pt idx="24">
                  <c:v>3647.0515858591721</c:v>
                </c:pt>
                <c:pt idx="25">
                  <c:v>3875.9460409976032</c:v>
                </c:pt>
                <c:pt idx="26">
                  <c:v>4496.8499775157497</c:v>
                </c:pt>
                <c:pt idx="27">
                  <c:v>4901.3285348631034</c:v>
                </c:pt>
                <c:pt idx="28">
                  <c:v>5146.3950162969177</c:v>
                </c:pt>
                <c:pt idx="29">
                  <c:v>5417.2578776297123</c:v>
                </c:pt>
                <c:pt idx="30">
                  <c:v>5718.216717495261</c:v>
                </c:pt>
                <c:pt idx="31">
                  <c:v>5826.1075108940477</c:v>
                </c:pt>
                <c:pt idx="32">
                  <c:v>5938.1480643616105</c:v>
                </c:pt>
                <c:pt idx="33">
                  <c:v>6134.7754861255526</c:v>
                </c:pt>
                <c:pt idx="34">
                  <c:v>6344.8705396881815</c:v>
                </c:pt>
                <c:pt idx="35">
                  <c:v>6569.8659518554332</c:v>
                </c:pt>
                <c:pt idx="36">
                  <c:v>7017.811298243123</c:v>
                </c:pt>
                <c:pt idx="37">
                  <c:v>7351.9928623942806</c:v>
                </c:pt>
                <c:pt idx="38">
                  <c:v>7784.4629970813521</c:v>
                </c:pt>
                <c:pt idx="39">
                  <c:v>7850.4331054013155</c:v>
                </c:pt>
                <c:pt idx="40">
                  <c:v>8055.2270601890086</c:v>
                </c:pt>
                <c:pt idx="41">
                  <c:v>8577.3250762428888</c:v>
                </c:pt>
                <c:pt idx="42">
                  <c:v>8993.7000899369996</c:v>
                </c:pt>
                <c:pt idx="43">
                  <c:v>9452.5623509981488</c:v>
                </c:pt>
                <c:pt idx="44">
                  <c:v>10179.68248246391</c:v>
                </c:pt>
                <c:pt idx="45">
                  <c:v>10408.439324673209</c:v>
                </c:pt>
                <c:pt idx="46">
                  <c:v>10898.248082718645</c:v>
                </c:pt>
                <c:pt idx="47">
                  <c:v>11579.388587888561</c:v>
                </c:pt>
                <c:pt idx="48">
                  <c:v>11725.963310435129</c:v>
                </c:pt>
                <c:pt idx="49">
                  <c:v>12351.34782708113</c:v>
                </c:pt>
                <c:pt idx="50">
                  <c:v>13622.810598627531</c:v>
                </c:pt>
                <c:pt idx="51">
                  <c:v>14035.622925047413</c:v>
                </c:pt>
                <c:pt idx="52">
                  <c:v>14474.236014394379</c:v>
                </c:pt>
                <c:pt idx="53">
                  <c:v>14703.985364190825</c:v>
                </c:pt>
                <c:pt idx="54">
                  <c:v>15700.866210802631</c:v>
                </c:pt>
                <c:pt idx="55">
                  <c:v>17814.44419308483</c:v>
                </c:pt>
                <c:pt idx="56">
                  <c:v>21543.048225987932</c:v>
                </c:pt>
                <c:pt idx="57">
                  <c:v>22593.929973664155</c:v>
                </c:pt>
                <c:pt idx="58">
                  <c:v>28071.244535850175</c:v>
                </c:pt>
              </c:numCache>
            </c:numRef>
          </c:xVal>
          <c:yVal>
            <c:numRef>
              <c:f>Data!$D$4:$D$62</c:f>
              <c:numCache>
                <c:formatCode>General</c:formatCode>
                <c:ptCount val="59"/>
                <c:pt idx="0">
                  <c:v>0.86637169560533833</c:v>
                </c:pt>
                <c:pt idx="1">
                  <c:v>0.89811768215472476</c:v>
                </c:pt>
                <c:pt idx="2">
                  <c:v>0.72278250983608083</c:v>
                </c:pt>
                <c:pt idx="3">
                  <c:v>0.49973923116649493</c:v>
                </c:pt>
                <c:pt idx="4">
                  <c:v>0.27161914791998698</c:v>
                </c:pt>
                <c:pt idx="5">
                  <c:v>0.22335359157406126</c:v>
                </c:pt>
                <c:pt idx="6">
                  <c:v>0.26124857618188885</c:v>
                </c:pt>
                <c:pt idx="7">
                  <c:v>0.27161914791998698</c:v>
                </c:pt>
                <c:pt idx="8">
                  <c:v>0.19064796041872664</c:v>
                </c:pt>
                <c:pt idx="9">
                  <c:v>9.1542533687605163E-2</c:v>
                </c:pt>
                <c:pt idx="10">
                  <c:v>0.13269077743991509</c:v>
                </c:pt>
                <c:pt idx="11">
                  <c:v>0.19064796041872664</c:v>
                </c:pt>
                <c:pt idx="12">
                  <c:v>0.12227866993128082</c:v>
                </c:pt>
                <c:pt idx="13">
                  <c:v>9.9492814620558395E-2</c:v>
                </c:pt>
                <c:pt idx="14">
                  <c:v>0.43006328554534906</c:v>
                </c:pt>
                <c:pt idx="15">
                  <c:v>0.64763823648523067</c:v>
                </c:pt>
                <c:pt idx="16">
                  <c:v>0.3838830425032535</c:v>
                </c:pt>
                <c:pt idx="17">
                  <c:v>0.16245836261504293</c:v>
                </c:pt>
                <c:pt idx="18">
                  <c:v>0.12738535745983476</c:v>
                </c:pt>
                <c:pt idx="19">
                  <c:v>0.11263593885643061</c:v>
                </c:pt>
                <c:pt idx="20">
                  <c:v>0.17602660604227047</c:v>
                </c:pt>
                <c:pt idx="21">
                  <c:v>0.2823733833526183</c:v>
                </c:pt>
                <c:pt idx="22">
                  <c:v>0.3170665852490554</c:v>
                </c:pt>
                <c:pt idx="23">
                  <c:v>0.21471766231038761</c:v>
                </c:pt>
                <c:pt idx="24">
                  <c:v>0.19064796041872664</c:v>
                </c:pt>
                <c:pt idx="25">
                  <c:v>0.14392673837236949</c:v>
                </c:pt>
                <c:pt idx="26">
                  <c:v>7.1107484895877093E-2</c:v>
                </c:pt>
                <c:pt idx="27">
                  <c:v>6.2571981077750749E-2</c:v>
                </c:pt>
                <c:pt idx="28">
                  <c:v>0.16245836261504293</c:v>
                </c:pt>
                <c:pt idx="29">
                  <c:v>0.13820210113043974</c:v>
                </c:pt>
                <c:pt idx="30">
                  <c:v>8.7978021484901928E-3</c:v>
                </c:pt>
                <c:pt idx="31">
                  <c:v>3.233137401009781E-4</c:v>
                </c:pt>
                <c:pt idx="32">
                  <c:v>2.6797695478815821E-6</c:v>
                </c:pt>
                <c:pt idx="33">
                  <c:v>2.7004699846883172E-9</c:v>
                </c:pt>
                <c:pt idx="34">
                  <c:v>2.1594399770671574E-5</c:v>
                </c:pt>
                <c:pt idx="35">
                  <c:v>2.3463772435668466E-3</c:v>
                </c:pt>
                <c:pt idx="36">
                  <c:v>2.8377162837791063E-2</c:v>
                </c:pt>
                <c:pt idx="37">
                  <c:v>5.500048981885737E-2</c:v>
                </c:pt>
                <c:pt idx="38">
                  <c:v>2.4771898827694774E-2</c:v>
                </c:pt>
                <c:pt idx="39">
                  <c:v>3.5675609147856305E-3</c:v>
                </c:pt>
                <c:pt idx="40">
                  <c:v>3.8721743933159593E-4</c:v>
                </c:pt>
                <c:pt idx="41">
                  <c:v>6.5504648888514106E-3</c:v>
                </c:pt>
                <c:pt idx="42">
                  <c:v>5.2673187660789142E-2</c:v>
                </c:pt>
                <c:pt idx="43">
                  <c:v>5.500048981885737E-2</c:v>
                </c:pt>
                <c:pt idx="44">
                  <c:v>2.0628176996487738E-2</c:v>
                </c:pt>
                <c:pt idx="45">
                  <c:v>6.5304960691619549E-2</c:v>
                </c:pt>
                <c:pt idx="46">
                  <c:v>0.16911538279845204</c:v>
                </c:pt>
                <c:pt idx="47">
                  <c:v>2.8377162837791063E-2</c:v>
                </c:pt>
                <c:pt idx="48">
                  <c:v>6.232712557592255E-3</c:v>
                </c:pt>
                <c:pt idx="49">
                  <c:v>2.0628176996487738E-2</c:v>
                </c:pt>
                <c:pt idx="50">
                  <c:v>9.7887397314401232E-4</c:v>
                </c:pt>
                <c:pt idx="51">
                  <c:v>8.1931959462411825E-6</c:v>
                </c:pt>
                <c:pt idx="52">
                  <c:v>3.9718322228417656E-9</c:v>
                </c:pt>
                <c:pt idx="53">
                  <c:v>2.1266034998172032E-16</c:v>
                </c:pt>
                <c:pt idx="54">
                  <c:v>1.4197817915739761E-25</c:v>
                </c:pt>
                <c:pt idx="55">
                  <c:v>3.4228286830535515E-15</c:v>
                </c:pt>
                <c:pt idx="56">
                  <c:v>9.9450406117631078E-12</c:v>
                </c:pt>
                <c:pt idx="57">
                  <c:v>1.5821760231989738E-18</c:v>
                </c:pt>
                <c:pt idx="58">
                  <c:v>1.5269757383864218E-33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88096"/>
        <c:axId val="144937728"/>
      </c:scatterChart>
      <c:valAx>
        <c:axId val="144788096"/>
        <c:scaling>
          <c:orientation val="minMax"/>
          <c:max val="6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GHz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44937728"/>
        <c:crosses val="autoZero"/>
        <c:crossBetween val="midCat"/>
      </c:valAx>
      <c:valAx>
        <c:axId val="14493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Transmission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44788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Nylon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.375" nylon 6 (Yun-sik)</c:v>
          </c:tx>
          <c:marker>
            <c:symbol val="none"/>
          </c:marker>
          <c:xVal>
            <c:numRef>
              <c:f>Data!$G$4:$G$27</c:f>
              <c:numCache>
                <c:formatCode>General</c:formatCode>
                <c:ptCount val="24"/>
                <c:pt idx="0">
                  <c:v>169.50206600000001</c:v>
                </c:pt>
                <c:pt idx="1">
                  <c:v>260.58530100000002</c:v>
                </c:pt>
                <c:pt idx="2">
                  <c:v>358.93817300000001</c:v>
                </c:pt>
                <c:pt idx="3">
                  <c:v>464.56068299999998</c:v>
                </c:pt>
                <c:pt idx="4">
                  <c:v>555.58481500000005</c:v>
                </c:pt>
                <c:pt idx="5">
                  <c:v>639.31566899999996</c:v>
                </c:pt>
                <c:pt idx="6">
                  <c:v>763.06498899999997</c:v>
                </c:pt>
                <c:pt idx="7">
                  <c:v>908.611401</c:v>
                </c:pt>
                <c:pt idx="8">
                  <c:v>1054.0987090000001</c:v>
                </c:pt>
                <c:pt idx="9">
                  <c:v>1195.8920969999999</c:v>
                </c:pt>
                <c:pt idx="10">
                  <c:v>1261.3424729999999</c:v>
                </c:pt>
                <c:pt idx="11">
                  <c:v>1341.2611999999999</c:v>
                </c:pt>
                <c:pt idx="12">
                  <c:v>1432.0607419999999</c:v>
                </c:pt>
                <c:pt idx="13">
                  <c:v>1515.4960819999999</c:v>
                </c:pt>
                <c:pt idx="14">
                  <c:v>1606.189239</c:v>
                </c:pt>
                <c:pt idx="15">
                  <c:v>1689.530015</c:v>
                </c:pt>
                <c:pt idx="16">
                  <c:v>1751.1682639999999</c:v>
                </c:pt>
                <c:pt idx="17">
                  <c:v>1805.4895939999999</c:v>
                </c:pt>
                <c:pt idx="18">
                  <c:v>1834.4735780000001</c:v>
                </c:pt>
                <c:pt idx="19">
                  <c:v>1863.4812039999999</c:v>
                </c:pt>
                <c:pt idx="20">
                  <c:v>1892.5242909999999</c:v>
                </c:pt>
                <c:pt idx="21">
                  <c:v>1925.190376</c:v>
                </c:pt>
                <c:pt idx="22">
                  <c:v>1950.49226</c:v>
                </c:pt>
                <c:pt idx="23">
                  <c:v>1982.957396</c:v>
                </c:pt>
              </c:numCache>
            </c:numRef>
          </c:xVal>
          <c:yVal>
            <c:numRef>
              <c:f>Data!$J$4:$J$27</c:f>
              <c:numCache>
                <c:formatCode>General</c:formatCode>
                <c:ptCount val="24"/>
                <c:pt idx="0">
                  <c:v>3.696097325124572E-2</c:v>
                </c:pt>
                <c:pt idx="1">
                  <c:v>1.0854143310008476E-2</c:v>
                </c:pt>
                <c:pt idx="2">
                  <c:v>2.2524650155268939E-3</c:v>
                </c:pt>
                <c:pt idx="3">
                  <c:v>3.3031698630171655E-4</c:v>
                </c:pt>
                <c:pt idx="4">
                  <c:v>4.0834503904888589E-5</c:v>
                </c:pt>
                <c:pt idx="5">
                  <c:v>5.0537169788620796E-6</c:v>
                </c:pt>
                <c:pt idx="6">
                  <c:v>1.5570612039246559E-7</c:v>
                </c:pt>
                <c:pt idx="7">
                  <c:v>1.4239033477944609E-9</c:v>
                </c:pt>
                <c:pt idx="8">
                  <c:v>5.4815070152067745E-12</c:v>
                </c:pt>
                <c:pt idx="9">
                  <c:v>1.0567164925230109E-14</c:v>
                </c:pt>
                <c:pt idx="10">
                  <c:v>6.563805148431242E-16</c:v>
                </c:pt>
                <c:pt idx="11">
                  <c:v>7.2088635959834446E-18</c:v>
                </c:pt>
                <c:pt idx="12">
                  <c:v>3.3272963252794737E-20</c:v>
                </c:pt>
                <c:pt idx="13">
                  <c:v>5.4437256514910257E-23</c:v>
                </c:pt>
                <c:pt idx="14">
                  <c:v>5.2937173822732085E-26</c:v>
                </c:pt>
                <c:pt idx="15">
                  <c:v>2.1694834480170614E-29</c:v>
                </c:pt>
                <c:pt idx="16">
                  <c:v>1.1958619026086233E-31</c:v>
                </c:pt>
                <c:pt idx="17">
                  <c:v>4.6686421152979276E-34</c:v>
                </c:pt>
                <c:pt idx="18">
                  <c:v>2.9162425940120296E-35</c:v>
                </c:pt>
                <c:pt idx="19">
                  <c:v>2.5748900850460722E-36</c:v>
                </c:pt>
                <c:pt idx="20">
                  <c:v>3.8207404571304996E-37</c:v>
                </c:pt>
                <c:pt idx="21">
                  <c:v>4.0085762715489404E-38</c:v>
                </c:pt>
                <c:pt idx="22">
                  <c:v>1.4907789621947328E-39</c:v>
                </c:pt>
                <c:pt idx="23">
                  <c:v>8.2544199281405463E-42</c:v>
                </c:pt>
              </c:numCache>
            </c:numRef>
          </c:yVal>
          <c:smooth val="1"/>
        </c:ser>
        <c:ser>
          <c:idx val="1"/>
          <c:order val="1"/>
          <c:tx>
            <c:v>.375" polyamide 6 (Piesiewicz)</c:v>
          </c:tx>
          <c:marker>
            <c:symbol val="none"/>
          </c:marker>
          <c:xVal>
            <c:numRef>
              <c:f>Data!$M$8:$M$28</c:f>
              <c:numCache>
                <c:formatCode>General</c:formatCode>
                <c:ptCount val="21"/>
                <c:pt idx="0">
                  <c:v>101.612903</c:v>
                </c:pt>
                <c:pt idx="1">
                  <c:v>153.22580600000001</c:v>
                </c:pt>
                <c:pt idx="2">
                  <c:v>241.935484</c:v>
                </c:pt>
                <c:pt idx="3">
                  <c:v>332.25806499999999</c:v>
                </c:pt>
                <c:pt idx="4">
                  <c:v>350</c:v>
                </c:pt>
                <c:pt idx="5">
                  <c:v>425.80645199999998</c:v>
                </c:pt>
                <c:pt idx="6">
                  <c:v>466.129032</c:v>
                </c:pt>
                <c:pt idx="7">
                  <c:v>500</c:v>
                </c:pt>
                <c:pt idx="8">
                  <c:v>514.51612899999998</c:v>
                </c:pt>
                <c:pt idx="9">
                  <c:v>567.74193500000001</c:v>
                </c:pt>
                <c:pt idx="10">
                  <c:v>603.22580600000003</c:v>
                </c:pt>
                <c:pt idx="11">
                  <c:v>633.87096799999995</c:v>
                </c:pt>
                <c:pt idx="12">
                  <c:v>690.32258100000001</c:v>
                </c:pt>
                <c:pt idx="13">
                  <c:v>700</c:v>
                </c:pt>
                <c:pt idx="14">
                  <c:v>750</c:v>
                </c:pt>
                <c:pt idx="15">
                  <c:v>822.580645</c:v>
                </c:pt>
                <c:pt idx="16">
                  <c:v>882.25806499999999</c:v>
                </c:pt>
                <c:pt idx="17">
                  <c:v>930.64516100000003</c:v>
                </c:pt>
                <c:pt idx="18">
                  <c:v>964.51612899999998</c:v>
                </c:pt>
                <c:pt idx="19">
                  <c:v>980.64516100000003</c:v>
                </c:pt>
                <c:pt idx="20">
                  <c:v>998.38709700000004</c:v>
                </c:pt>
              </c:numCache>
            </c:numRef>
          </c:xVal>
          <c:yVal>
            <c:numRef>
              <c:f>Data!$P$8:$P$28</c:f>
              <c:numCache>
                <c:formatCode>General</c:formatCode>
                <c:ptCount val="21"/>
                <c:pt idx="0">
                  <c:v>0.32975345823324304</c:v>
                </c:pt>
                <c:pt idx="1">
                  <c:v>0.35942738898855525</c:v>
                </c:pt>
                <c:pt idx="2">
                  <c:v>0.11725265828177024</c:v>
                </c:pt>
                <c:pt idx="3">
                  <c:v>3.2195100383908631E-2</c:v>
                </c:pt>
                <c:pt idx="4">
                  <c:v>2.5796924489331775E-2</c:v>
                </c:pt>
                <c:pt idx="5">
                  <c:v>6.8263759761787749E-3</c:v>
                </c:pt>
                <c:pt idx="6">
                  <c:v>2.0430524304813724E-3</c:v>
                </c:pt>
                <c:pt idx="7">
                  <c:v>9.2798034997329678E-4</c:v>
                </c:pt>
                <c:pt idx="8">
                  <c:v>6.6648538271257428E-4</c:v>
                </c:pt>
                <c:pt idx="9">
                  <c:v>1.9947107891257076E-4</c:v>
                </c:pt>
                <c:pt idx="10">
                  <c:v>7.7310042105503088E-5</c:v>
                </c:pt>
                <c:pt idx="11">
                  <c:v>5.0248696583415452E-5</c:v>
                </c:pt>
                <c:pt idx="12">
                  <c:v>7.5480772198917642E-6</c:v>
                </c:pt>
                <c:pt idx="13">
                  <c:v>1.2533888086068391E-10</c:v>
                </c:pt>
                <c:pt idx="14">
                  <c:v>1.1338298023884054E-6</c:v>
                </c:pt>
                <c:pt idx="15">
                  <c:v>1.0156088663383509E-7</c:v>
                </c:pt>
                <c:pt idx="16">
                  <c:v>1.0808094422218703E-8</c:v>
                </c:pt>
                <c:pt idx="17">
                  <c:v>2.1024580010507299E-9</c:v>
                </c:pt>
                <c:pt idx="18">
                  <c:v>2.8974546072764984E-10</c:v>
                </c:pt>
                <c:pt idx="19">
                  <c:v>2.0527107360585094E-10</c:v>
                </c:pt>
                <c:pt idx="20">
                  <c:v>1.3341880838422832E-10</c:v>
                </c:pt>
              </c:numCache>
            </c:numRef>
          </c:yVal>
          <c:smooth val="1"/>
        </c:ser>
        <c:ser>
          <c:idx val="2"/>
          <c:order val="2"/>
          <c:tx>
            <c:v>.375" polyamide (Yun-sik)</c:v>
          </c:tx>
          <c:marker>
            <c:symbol val="none"/>
          </c:marker>
          <c:xVal>
            <c:numRef>
              <c:f>Data!$G$30:$G$56</c:f>
              <c:numCache>
                <c:formatCode>General</c:formatCode>
                <c:ptCount val="27"/>
                <c:pt idx="0">
                  <c:v>172.924115</c:v>
                </c:pt>
                <c:pt idx="1">
                  <c:v>231.18759700000001</c:v>
                </c:pt>
                <c:pt idx="2">
                  <c:v>304.00217500000002</c:v>
                </c:pt>
                <c:pt idx="3">
                  <c:v>380.41611</c:v>
                </c:pt>
                <c:pt idx="4">
                  <c:v>467.66357699999998</c:v>
                </c:pt>
                <c:pt idx="5">
                  <c:v>554.946505</c:v>
                </c:pt>
                <c:pt idx="6">
                  <c:v>649.46361000000002</c:v>
                </c:pt>
                <c:pt idx="7">
                  <c:v>754.86152900000002</c:v>
                </c:pt>
                <c:pt idx="8">
                  <c:v>849.39045399999998</c:v>
                </c:pt>
                <c:pt idx="9">
                  <c:v>962.06983100000002</c:v>
                </c:pt>
                <c:pt idx="10">
                  <c:v>1111.0619320000001</c:v>
                </c:pt>
                <c:pt idx="11">
                  <c:v>1256.3837530000001</c:v>
                </c:pt>
                <c:pt idx="12">
                  <c:v>1368.956745</c:v>
                </c:pt>
                <c:pt idx="13">
                  <c:v>1368.956745</c:v>
                </c:pt>
                <c:pt idx="14">
                  <c:v>1485.2000169999999</c:v>
                </c:pt>
                <c:pt idx="15">
                  <c:v>1543.298012</c:v>
                </c:pt>
                <c:pt idx="16">
                  <c:v>1572.293817</c:v>
                </c:pt>
                <c:pt idx="17">
                  <c:v>1597.6311619999999</c:v>
                </c:pt>
                <c:pt idx="18">
                  <c:v>1633.872963</c:v>
                </c:pt>
                <c:pt idx="19">
                  <c:v>1662.9278710000001</c:v>
                </c:pt>
                <c:pt idx="20">
                  <c:v>1688.4543450000001</c:v>
                </c:pt>
                <c:pt idx="21">
                  <c:v>1721.3213800000001</c:v>
                </c:pt>
                <c:pt idx="22">
                  <c:v>1746.729648</c:v>
                </c:pt>
                <c:pt idx="23">
                  <c:v>1779.3011690000001</c:v>
                </c:pt>
                <c:pt idx="24">
                  <c:v>1800.7200029999999</c:v>
                </c:pt>
                <c:pt idx="25">
                  <c:v>1836.7017519999999</c:v>
                </c:pt>
                <c:pt idx="26">
                  <c:v>1861.9918150000001</c:v>
                </c:pt>
              </c:numCache>
            </c:numRef>
          </c:xVal>
          <c:yVal>
            <c:numRef>
              <c:f>Data!$J$30:$J$56</c:f>
              <c:numCache>
                <c:formatCode>General</c:formatCode>
                <c:ptCount val="27"/>
                <c:pt idx="0">
                  <c:v>1.379203252233078E-3</c:v>
                </c:pt>
                <c:pt idx="1">
                  <c:v>4.070731536398048E-4</c:v>
                </c:pt>
                <c:pt idx="2">
                  <c:v>7.1332782757009452E-5</c:v>
                </c:pt>
                <c:pt idx="3">
                  <c:v>6.2525570492872335E-6</c:v>
                </c:pt>
                <c:pt idx="4">
                  <c:v>1.1527494338311755E-7</c:v>
                </c:pt>
                <c:pt idx="5">
                  <c:v>3.5716225450300066E-9</c:v>
                </c:pt>
                <c:pt idx="6">
                  <c:v>4.6532198597791417E-11</c:v>
                </c:pt>
                <c:pt idx="7">
                  <c:v>2.5477401712986411E-13</c:v>
                </c:pt>
                <c:pt idx="8">
                  <c:v>3.9463330063768382E-15</c:v>
                </c:pt>
                <c:pt idx="9">
                  <c:v>1.8153361022911892E-17</c:v>
                </c:pt>
                <c:pt idx="10">
                  <c:v>8.7562698922242145E-21</c:v>
                </c:pt>
                <c:pt idx="11">
                  <c:v>2.9896660190730614E-24</c:v>
                </c:pt>
                <c:pt idx="12">
                  <c:v>2.897513225980318E-27</c:v>
                </c:pt>
                <c:pt idx="13">
                  <c:v>2.897513225980318E-27</c:v>
                </c:pt>
                <c:pt idx="14">
                  <c:v>3.9672241350447368E-30</c:v>
                </c:pt>
                <c:pt idx="15">
                  <c:v>1.0385213086615369E-31</c:v>
                </c:pt>
                <c:pt idx="16">
                  <c:v>7.7125761965754186E-33</c:v>
                </c:pt>
                <c:pt idx="17">
                  <c:v>4.8203209442876785E-34</c:v>
                </c:pt>
                <c:pt idx="18">
                  <c:v>1.7896511360412136E-35</c:v>
                </c:pt>
                <c:pt idx="19">
                  <c:v>3.1572414825134604E-36</c:v>
                </c:pt>
                <c:pt idx="20">
                  <c:v>3.1448693519703067E-36</c:v>
                </c:pt>
                <c:pt idx="21">
                  <c:v>6.2519420769038706E-36</c:v>
                </c:pt>
                <c:pt idx="22">
                  <c:v>1.1035657165635715E-36</c:v>
                </c:pt>
                <c:pt idx="23">
                  <c:v>2.900227504589171E-38</c:v>
                </c:pt>
                <c:pt idx="24">
                  <c:v>3.389033788942284E-41</c:v>
                </c:pt>
                <c:pt idx="25">
                  <c:v>2.795395339147775E-44</c:v>
                </c:pt>
                <c:pt idx="26">
                  <c:v>8.7440964193243169E-46</c:v>
                </c:pt>
              </c:numCache>
            </c:numRef>
          </c:yVal>
          <c:smooth val="1"/>
        </c:ser>
        <c:ser>
          <c:idx val="3"/>
          <c:order val="3"/>
          <c:tx>
            <c:v>0.375" Nylon (Halpern)</c:v>
          </c:tx>
          <c:marker>
            <c:symbol val="none"/>
          </c:marker>
          <c:xVal>
            <c:numRef>
              <c:f>Data!$Y$17:$Y$43</c:f>
              <c:numCache>
                <c:formatCode>General</c:formatCode>
                <c:ptCount val="27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240</c:v>
                </c:pt>
                <c:pt idx="12">
                  <c:v>280</c:v>
                </c:pt>
                <c:pt idx="13">
                  <c:v>320</c:v>
                </c:pt>
                <c:pt idx="14">
                  <c:v>360</c:v>
                </c:pt>
                <c:pt idx="15">
                  <c:v>400</c:v>
                </c:pt>
                <c:pt idx="16">
                  <c:v>440</c:v>
                </c:pt>
                <c:pt idx="17">
                  <c:v>480</c:v>
                </c:pt>
                <c:pt idx="18">
                  <c:v>520</c:v>
                </c:pt>
                <c:pt idx="19">
                  <c:v>560</c:v>
                </c:pt>
                <c:pt idx="20">
                  <c:v>600</c:v>
                </c:pt>
                <c:pt idx="21">
                  <c:v>650</c:v>
                </c:pt>
                <c:pt idx="22">
                  <c:v>700</c:v>
                </c:pt>
                <c:pt idx="23">
                  <c:v>750</c:v>
                </c:pt>
                <c:pt idx="24">
                  <c:v>800</c:v>
                </c:pt>
                <c:pt idx="25">
                  <c:v>850</c:v>
                </c:pt>
                <c:pt idx="26">
                  <c:v>900</c:v>
                </c:pt>
              </c:numCache>
            </c:numRef>
          </c:xVal>
          <c:yVal>
            <c:numRef>
              <c:f>Data!$AB$17:$AB$43</c:f>
              <c:numCache>
                <c:formatCode>General</c:formatCode>
                <c:ptCount val="27"/>
                <c:pt idx="0">
                  <c:v>0.99644432344042233</c:v>
                </c:pt>
                <c:pt idx="1">
                  <c:v>0.99444566230572862</c:v>
                </c:pt>
                <c:pt idx="2">
                  <c:v>0.99182970739067122</c:v>
                </c:pt>
                <c:pt idx="3">
                  <c:v>0.98852227557502848</c:v>
                </c:pt>
                <c:pt idx="4">
                  <c:v>0.98445256624261845</c:v>
                </c:pt>
                <c:pt idx="5">
                  <c:v>0.97955357047982428</c:v>
                </c:pt>
                <c:pt idx="6">
                  <c:v>0.97376253868826379</c:v>
                </c:pt>
                <c:pt idx="7">
                  <c:v>0.95927776152287836</c:v>
                </c:pt>
                <c:pt idx="8">
                  <c:v>0.9406014956653902</c:v>
                </c:pt>
                <c:pt idx="9">
                  <c:v>0.91743988333530213</c:v>
                </c:pt>
                <c:pt idx="10">
                  <c:v>0.88961921947201039</c:v>
                </c:pt>
                <c:pt idx="11">
                  <c:v>0.81999388568610043</c:v>
                </c:pt>
                <c:pt idx="12">
                  <c:v>0.73320946236799389</c:v>
                </c:pt>
                <c:pt idx="13">
                  <c:v>0.63312995905759761</c:v>
                </c:pt>
                <c:pt idx="14">
                  <c:v>0.52561705568174377</c:v>
                </c:pt>
                <c:pt idx="15">
                  <c:v>0.4176826354477296</c:v>
                </c:pt>
                <c:pt idx="16">
                  <c:v>0.31632505893903917</c:v>
                </c:pt>
                <c:pt idx="17">
                  <c:v>0.22733153018147562</c:v>
                </c:pt>
                <c:pt idx="18">
                  <c:v>0.15437264056326941</c:v>
                </c:pt>
                <c:pt idx="19">
                  <c:v>9.8634007119155834E-2</c:v>
                </c:pt>
                <c:pt idx="20">
                  <c:v>5.9047829141451395E-2</c:v>
                </c:pt>
                <c:pt idx="21">
                  <c:v>2.8193506912163172E-2</c:v>
                </c:pt>
                <c:pt idx="22">
                  <c:v>1.1983008459441091E-2</c:v>
                </c:pt>
                <c:pt idx="23">
                  <c:v>4.4974761887329791E-3</c:v>
                </c:pt>
                <c:pt idx="24">
                  <c:v>1.4787597174545266E-3</c:v>
                </c:pt>
                <c:pt idx="25">
                  <c:v>4.2258551208102023E-4</c:v>
                </c:pt>
                <c:pt idx="26">
                  <c:v>1.0413670149304321E-4</c:v>
                </c:pt>
              </c:numCache>
            </c:numRef>
          </c:yVal>
          <c:smooth val="1"/>
        </c:ser>
        <c:ser>
          <c:idx val="4"/>
          <c:order val="4"/>
          <c:tx>
            <c:v>0.375" florogold</c:v>
          </c:tx>
          <c:marker>
            <c:symbol val="none"/>
          </c:marker>
          <c:xVal>
            <c:numRef>
              <c:f>Data!$Y$17:$Y$43</c:f>
              <c:numCache>
                <c:formatCode>General</c:formatCode>
                <c:ptCount val="27"/>
                <c:pt idx="0">
                  <c:v>60</c:v>
                </c:pt>
                <c:pt idx="1">
                  <c:v>70</c:v>
                </c:pt>
                <c:pt idx="2">
                  <c:v>80</c:v>
                </c:pt>
                <c:pt idx="3">
                  <c:v>90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240</c:v>
                </c:pt>
                <c:pt idx="12">
                  <c:v>280</c:v>
                </c:pt>
                <c:pt idx="13">
                  <c:v>320</c:v>
                </c:pt>
                <c:pt idx="14">
                  <c:v>360</c:v>
                </c:pt>
                <c:pt idx="15">
                  <c:v>400</c:v>
                </c:pt>
                <c:pt idx="16">
                  <c:v>440</c:v>
                </c:pt>
                <c:pt idx="17">
                  <c:v>480</c:v>
                </c:pt>
                <c:pt idx="18">
                  <c:v>520</c:v>
                </c:pt>
                <c:pt idx="19">
                  <c:v>560</c:v>
                </c:pt>
                <c:pt idx="20">
                  <c:v>600</c:v>
                </c:pt>
                <c:pt idx="21">
                  <c:v>650</c:v>
                </c:pt>
                <c:pt idx="22">
                  <c:v>700</c:v>
                </c:pt>
                <c:pt idx="23">
                  <c:v>750</c:v>
                </c:pt>
                <c:pt idx="24">
                  <c:v>800</c:v>
                </c:pt>
                <c:pt idx="25">
                  <c:v>850</c:v>
                </c:pt>
                <c:pt idx="26">
                  <c:v>900</c:v>
                </c:pt>
              </c:numCache>
            </c:numRef>
          </c:xVal>
          <c:yVal>
            <c:numRef>
              <c:f>Data!$AD$17:$AD$43</c:f>
              <c:numCache>
                <c:formatCode>General</c:formatCode>
                <c:ptCount val="27"/>
                <c:pt idx="0">
                  <c:v>0.99959482989715875</c:v>
                </c:pt>
                <c:pt idx="1">
                  <c:v>0.9992943642772133</c:v>
                </c:pt>
                <c:pt idx="2">
                  <c:v>0.99885907532353246</c:v>
                </c:pt>
                <c:pt idx="3">
                  <c:v>0.99825708913488698</c:v>
                </c:pt>
                <c:pt idx="4">
                  <c:v>0.99745418124341256</c:v>
                </c:pt>
                <c:pt idx="5">
                  <c:v>0.99641396363477941</c:v>
                </c:pt>
                <c:pt idx="6">
                  <c:v>0.99509807398369376</c:v>
                </c:pt>
                <c:pt idx="7">
                  <c:v>0.99147715682563886</c:v>
                </c:pt>
                <c:pt idx="8">
                  <c:v>0.98625292054666869</c:v>
                </c:pt>
                <c:pt idx="9">
                  <c:v>0.97906963546199233</c:v>
                </c:pt>
                <c:pt idx="10">
                  <c:v>0.9695635291076512</c:v>
                </c:pt>
                <c:pt idx="11">
                  <c:v>0.9421548765103811</c:v>
                </c:pt>
                <c:pt idx="12">
                  <c:v>0.90141580519813269</c:v>
                </c:pt>
                <c:pt idx="13">
                  <c:v>0.84548082272520242</c:v>
                </c:pt>
                <c:pt idx="14">
                  <c:v>0.7737629826180803</c:v>
                </c:pt>
                <c:pt idx="15">
                  <c:v>0.68742836804406526</c:v>
                </c:pt>
                <c:pt idx="16">
                  <c:v>0.58965671691581867</c:v>
                </c:pt>
                <c:pt idx="17">
                  <c:v>0.48552761424525098</c:v>
                </c:pt>
                <c:pt idx="18">
                  <c:v>0.38143557342898227</c:v>
                </c:pt>
                <c:pt idx="19">
                  <c:v>0.28407606966975013</c:v>
                </c:pt>
                <c:pt idx="20">
                  <c:v>0.19922148313053933</c:v>
                </c:pt>
                <c:pt idx="21">
                  <c:v>0.1162360403388966</c:v>
                </c:pt>
                <c:pt idx="22">
                  <c:v>6.0194276373421479E-2</c:v>
                </c:pt>
                <c:pt idx="23">
                  <c:v>2.7256076016482274E-2</c:v>
                </c:pt>
                <c:pt idx="24">
                  <c:v>1.0623401539614812E-2</c:v>
                </c:pt>
                <c:pt idx="25">
                  <c:v>3.5065220325112452E-3</c:v>
                </c:pt>
                <c:pt idx="26">
                  <c:v>9.6372276540365362E-4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2224"/>
        <c:axId val="79014144"/>
      </c:scatterChart>
      <c:valAx>
        <c:axId val="79012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GHz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9014144"/>
        <c:crosses val="autoZero"/>
        <c:crossBetween val="midCat"/>
      </c:valAx>
      <c:valAx>
        <c:axId val="79014144"/>
        <c:scaling>
          <c:logBase val="10"/>
          <c:orientation val="minMax"/>
          <c:min val="1.0000000000000002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Absorption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79012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filters</a:t>
            </a:r>
            <a:r>
              <a:rPr lang="en-US" baseline="0"/>
              <a:t> &amp; scaled PP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K1860</c:v>
          </c:tx>
          <c:marker>
            <c:symbol val="none"/>
          </c:marker>
          <c:xVal>
            <c:numRef>
              <c:f>'K1860'!$A$3:$A$678</c:f>
              <c:numCache>
                <c:formatCode>General</c:formatCode>
                <c:ptCount val="676"/>
                <c:pt idx="0">
                  <c:v>60.441964495999997</c:v>
                </c:pt>
                <c:pt idx="1">
                  <c:v>61.953006113600004</c:v>
                </c:pt>
                <c:pt idx="2">
                  <c:v>63.464047731199997</c:v>
                </c:pt>
                <c:pt idx="3">
                  <c:v>64.975089348799997</c:v>
                </c:pt>
                <c:pt idx="4">
                  <c:v>66.486130966399998</c:v>
                </c:pt>
                <c:pt idx="5">
                  <c:v>67.997172583999998</c:v>
                </c:pt>
                <c:pt idx="6">
                  <c:v>69.508214201599998</c:v>
                </c:pt>
                <c:pt idx="7">
                  <c:v>71.019255819199998</c:v>
                </c:pt>
                <c:pt idx="8">
                  <c:v>72.530297436799998</c:v>
                </c:pt>
                <c:pt idx="9">
                  <c:v>74.041339054399998</c:v>
                </c:pt>
                <c:pt idx="10">
                  <c:v>75.552380671999984</c:v>
                </c:pt>
                <c:pt idx="11">
                  <c:v>77.063422289599998</c:v>
                </c:pt>
                <c:pt idx="12">
                  <c:v>78.574463907199998</c:v>
                </c:pt>
                <c:pt idx="13">
                  <c:v>80.085505524799999</c:v>
                </c:pt>
                <c:pt idx="14">
                  <c:v>81.596547142399999</c:v>
                </c:pt>
                <c:pt idx="15">
                  <c:v>83.107588759999985</c:v>
                </c:pt>
                <c:pt idx="16">
                  <c:v>84.618630377599999</c:v>
                </c:pt>
                <c:pt idx="17">
                  <c:v>86.129671995199999</c:v>
                </c:pt>
                <c:pt idx="18">
                  <c:v>87.640713612799999</c:v>
                </c:pt>
                <c:pt idx="19">
                  <c:v>89.151755230399999</c:v>
                </c:pt>
                <c:pt idx="20">
                  <c:v>90.662796847999999</c:v>
                </c:pt>
                <c:pt idx="21">
                  <c:v>92.173838465599999</c:v>
                </c:pt>
                <c:pt idx="22">
                  <c:v>93.684880083199999</c:v>
                </c:pt>
                <c:pt idx="23">
                  <c:v>95.1959217008</c:v>
                </c:pt>
                <c:pt idx="24">
                  <c:v>96.706963318399985</c:v>
                </c:pt>
                <c:pt idx="25">
                  <c:v>98.218004936</c:v>
                </c:pt>
                <c:pt idx="26">
                  <c:v>99.7290465536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110.30633787679999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117.86154596479999</c:v>
                </c:pt>
                <c:pt idx="39">
                  <c:v>119.3725875824</c:v>
                </c:pt>
                <c:pt idx="40">
                  <c:v>120.88362919999997</c:v>
                </c:pt>
                <c:pt idx="41">
                  <c:v>122.39467081760002</c:v>
                </c:pt>
                <c:pt idx="42">
                  <c:v>123.90571243519999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128.43883728799997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135.99404537599997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143.54925346399997</c:v>
                </c:pt>
                <c:pt idx="56">
                  <c:v>145.06029508160003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151.10446155199998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155.63758640479998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163.19279449279998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170.74800258079998</c:v>
                </c:pt>
                <c:pt idx="74">
                  <c:v>172.25904419840001</c:v>
                </c:pt>
                <c:pt idx="75">
                  <c:v>173.77008581600001</c:v>
                </c:pt>
                <c:pt idx="76">
                  <c:v>175.28112743360001</c:v>
                </c:pt>
                <c:pt idx="77">
                  <c:v>176.79216905120001</c:v>
                </c:pt>
                <c:pt idx="78">
                  <c:v>178.30321066879998</c:v>
                </c:pt>
                <c:pt idx="79">
                  <c:v>179.81425228640001</c:v>
                </c:pt>
                <c:pt idx="80">
                  <c:v>181.32529390400001</c:v>
                </c:pt>
                <c:pt idx="81">
                  <c:v>182.83633552159998</c:v>
                </c:pt>
                <c:pt idx="82">
                  <c:v>184.34737713920001</c:v>
                </c:pt>
                <c:pt idx="83">
                  <c:v>185.85841875679998</c:v>
                </c:pt>
                <c:pt idx="84">
                  <c:v>187.36946037440003</c:v>
                </c:pt>
                <c:pt idx="85">
                  <c:v>188.88050199200001</c:v>
                </c:pt>
                <c:pt idx="86">
                  <c:v>190.39154360959998</c:v>
                </c:pt>
                <c:pt idx="87">
                  <c:v>191.90258522720001</c:v>
                </c:pt>
                <c:pt idx="88">
                  <c:v>193.41362684480001</c:v>
                </c:pt>
                <c:pt idx="89">
                  <c:v>194.92466846240004</c:v>
                </c:pt>
                <c:pt idx="90">
                  <c:v>196.43571008000001</c:v>
                </c:pt>
                <c:pt idx="91">
                  <c:v>197.94675169759998</c:v>
                </c:pt>
                <c:pt idx="92">
                  <c:v>199.45779331520001</c:v>
                </c:pt>
                <c:pt idx="93">
                  <c:v>200.96883493280001</c:v>
                </c:pt>
                <c:pt idx="94">
                  <c:v>202.47987655039998</c:v>
                </c:pt>
                <c:pt idx="95">
                  <c:v>203.99091816800001</c:v>
                </c:pt>
                <c:pt idx="96">
                  <c:v>205.50195978559998</c:v>
                </c:pt>
                <c:pt idx="97">
                  <c:v>207.01300140320001</c:v>
                </c:pt>
                <c:pt idx="98">
                  <c:v>208.52404302080001</c:v>
                </c:pt>
                <c:pt idx="99">
                  <c:v>210.03508463839998</c:v>
                </c:pt>
                <c:pt idx="100">
                  <c:v>211.54612625600001</c:v>
                </c:pt>
                <c:pt idx="101">
                  <c:v>213.05716787359998</c:v>
                </c:pt>
                <c:pt idx="102">
                  <c:v>214.56820949120001</c:v>
                </c:pt>
                <c:pt idx="103">
                  <c:v>216.07925110880001</c:v>
                </c:pt>
                <c:pt idx="104">
                  <c:v>217.59029272639998</c:v>
                </c:pt>
                <c:pt idx="105">
                  <c:v>219.10133434400001</c:v>
                </c:pt>
                <c:pt idx="106">
                  <c:v>220.61237596159998</c:v>
                </c:pt>
                <c:pt idx="107">
                  <c:v>222.12341757920004</c:v>
                </c:pt>
                <c:pt idx="108">
                  <c:v>223.63445919680001</c:v>
                </c:pt>
                <c:pt idx="109">
                  <c:v>225.14550081439998</c:v>
                </c:pt>
                <c:pt idx="110">
                  <c:v>226.65654243200001</c:v>
                </c:pt>
                <c:pt idx="111">
                  <c:v>228.16758404960001</c:v>
                </c:pt>
                <c:pt idx="112">
                  <c:v>229.67862566720004</c:v>
                </c:pt>
                <c:pt idx="113">
                  <c:v>231.18966728480001</c:v>
                </c:pt>
                <c:pt idx="114">
                  <c:v>232.70070890239998</c:v>
                </c:pt>
                <c:pt idx="115">
                  <c:v>234.21175052000001</c:v>
                </c:pt>
                <c:pt idx="116">
                  <c:v>235.72279213760001</c:v>
                </c:pt>
                <c:pt idx="117">
                  <c:v>237.23383375519998</c:v>
                </c:pt>
                <c:pt idx="118">
                  <c:v>238.74487537280001</c:v>
                </c:pt>
                <c:pt idx="119">
                  <c:v>240.25591699039998</c:v>
                </c:pt>
                <c:pt idx="120">
                  <c:v>241.76695860800001</c:v>
                </c:pt>
                <c:pt idx="121">
                  <c:v>243.27800022560001</c:v>
                </c:pt>
                <c:pt idx="122">
                  <c:v>244.78904184319998</c:v>
                </c:pt>
                <c:pt idx="123">
                  <c:v>246.30008346080001</c:v>
                </c:pt>
                <c:pt idx="124">
                  <c:v>247.81112507839998</c:v>
                </c:pt>
                <c:pt idx="125">
                  <c:v>249.32216669600001</c:v>
                </c:pt>
                <c:pt idx="126">
                  <c:v>250.83320831360001</c:v>
                </c:pt>
                <c:pt idx="127">
                  <c:v>252.34424993119998</c:v>
                </c:pt>
                <c:pt idx="128">
                  <c:v>253.85529154880001</c:v>
                </c:pt>
                <c:pt idx="129">
                  <c:v>255.36633316639998</c:v>
                </c:pt>
                <c:pt idx="130">
                  <c:v>256.87737478400004</c:v>
                </c:pt>
                <c:pt idx="131">
                  <c:v>258.38841640160001</c:v>
                </c:pt>
                <c:pt idx="132">
                  <c:v>259.89945801919998</c:v>
                </c:pt>
                <c:pt idx="133">
                  <c:v>261.41049963680001</c:v>
                </c:pt>
                <c:pt idx="134">
                  <c:v>262.92154125439998</c:v>
                </c:pt>
                <c:pt idx="135">
                  <c:v>264.43258287199995</c:v>
                </c:pt>
                <c:pt idx="136">
                  <c:v>265.94362448959998</c:v>
                </c:pt>
                <c:pt idx="137">
                  <c:v>267.45466610720001</c:v>
                </c:pt>
                <c:pt idx="138">
                  <c:v>268.96570772480004</c:v>
                </c:pt>
                <c:pt idx="139">
                  <c:v>270.47674934240001</c:v>
                </c:pt>
                <c:pt idx="140">
                  <c:v>271.98779095999998</c:v>
                </c:pt>
                <c:pt idx="141">
                  <c:v>273.49883257760001</c:v>
                </c:pt>
                <c:pt idx="142">
                  <c:v>275.00987419519998</c:v>
                </c:pt>
                <c:pt idx="143">
                  <c:v>276.52091581280001</c:v>
                </c:pt>
                <c:pt idx="144">
                  <c:v>278.03195743039998</c:v>
                </c:pt>
                <c:pt idx="145">
                  <c:v>279.54299904799996</c:v>
                </c:pt>
                <c:pt idx="146">
                  <c:v>281.05404066560004</c:v>
                </c:pt>
                <c:pt idx="147">
                  <c:v>282.56508228320001</c:v>
                </c:pt>
                <c:pt idx="148">
                  <c:v>284.07612390080004</c:v>
                </c:pt>
                <c:pt idx="149">
                  <c:v>285.58716551840001</c:v>
                </c:pt>
                <c:pt idx="150">
                  <c:v>287.09820713599998</c:v>
                </c:pt>
                <c:pt idx="151">
                  <c:v>288.60924875360001</c:v>
                </c:pt>
                <c:pt idx="152">
                  <c:v>290.12029037119999</c:v>
                </c:pt>
                <c:pt idx="153">
                  <c:v>291.63133198880001</c:v>
                </c:pt>
                <c:pt idx="154">
                  <c:v>293.14237360639999</c:v>
                </c:pt>
                <c:pt idx="155">
                  <c:v>294.65341522400001</c:v>
                </c:pt>
                <c:pt idx="156">
                  <c:v>296.16445684160004</c:v>
                </c:pt>
                <c:pt idx="157">
                  <c:v>297.67549845920001</c:v>
                </c:pt>
                <c:pt idx="158">
                  <c:v>299.18654007679999</c:v>
                </c:pt>
                <c:pt idx="159">
                  <c:v>300.69758169440001</c:v>
                </c:pt>
                <c:pt idx="160">
                  <c:v>302.20862331199999</c:v>
                </c:pt>
                <c:pt idx="161">
                  <c:v>303.71966492960001</c:v>
                </c:pt>
                <c:pt idx="162">
                  <c:v>305.23070654719999</c:v>
                </c:pt>
                <c:pt idx="163">
                  <c:v>306.74174816480001</c:v>
                </c:pt>
                <c:pt idx="164">
                  <c:v>308.25278978239999</c:v>
                </c:pt>
                <c:pt idx="165">
                  <c:v>309.76383140000002</c:v>
                </c:pt>
                <c:pt idx="166">
                  <c:v>311.27487301760004</c:v>
                </c:pt>
                <c:pt idx="167">
                  <c:v>312.78591463520002</c:v>
                </c:pt>
                <c:pt idx="168">
                  <c:v>314.29695625280004</c:v>
                </c:pt>
                <c:pt idx="169">
                  <c:v>315.80799787040002</c:v>
                </c:pt>
                <c:pt idx="170">
                  <c:v>317.31903948799999</c:v>
                </c:pt>
                <c:pt idx="171">
                  <c:v>318.83008110560002</c:v>
                </c:pt>
                <c:pt idx="172">
                  <c:v>320.34112272319999</c:v>
                </c:pt>
                <c:pt idx="173">
                  <c:v>321.85216434080002</c:v>
                </c:pt>
                <c:pt idx="174">
                  <c:v>323.36320595840004</c:v>
                </c:pt>
                <c:pt idx="175">
                  <c:v>324.87424757600002</c:v>
                </c:pt>
                <c:pt idx="176">
                  <c:v>326.38528919360004</c:v>
                </c:pt>
                <c:pt idx="177">
                  <c:v>327.89633081120002</c:v>
                </c:pt>
                <c:pt idx="178">
                  <c:v>329.40737242880004</c:v>
                </c:pt>
                <c:pt idx="179">
                  <c:v>330.91841404640002</c:v>
                </c:pt>
                <c:pt idx="180">
                  <c:v>332.42975545600001</c:v>
                </c:pt>
                <c:pt idx="181">
                  <c:v>333.94079707360004</c:v>
                </c:pt>
                <c:pt idx="182">
                  <c:v>335.45183869120001</c:v>
                </c:pt>
                <c:pt idx="183">
                  <c:v>336.96288030880004</c:v>
                </c:pt>
                <c:pt idx="184">
                  <c:v>338.47392192640001</c:v>
                </c:pt>
                <c:pt idx="185">
                  <c:v>339.98496354399998</c:v>
                </c:pt>
                <c:pt idx="186">
                  <c:v>341.49600516159995</c:v>
                </c:pt>
                <c:pt idx="187">
                  <c:v>343.00704677919998</c:v>
                </c:pt>
                <c:pt idx="188">
                  <c:v>344.51808839680001</c:v>
                </c:pt>
                <c:pt idx="189">
                  <c:v>346.02913001440004</c:v>
                </c:pt>
                <c:pt idx="190">
                  <c:v>347.54017163200001</c:v>
                </c:pt>
                <c:pt idx="191">
                  <c:v>349.05121324959998</c:v>
                </c:pt>
                <c:pt idx="192">
                  <c:v>350.56225486720001</c:v>
                </c:pt>
                <c:pt idx="193">
                  <c:v>352.07329648480004</c:v>
                </c:pt>
                <c:pt idx="194">
                  <c:v>353.58433810240001</c:v>
                </c:pt>
                <c:pt idx="195">
                  <c:v>355.09537971999998</c:v>
                </c:pt>
                <c:pt idx="196">
                  <c:v>356.60642133759995</c:v>
                </c:pt>
                <c:pt idx="197">
                  <c:v>358.11746295519998</c:v>
                </c:pt>
                <c:pt idx="198">
                  <c:v>359.62850457280007</c:v>
                </c:pt>
                <c:pt idx="199">
                  <c:v>361.13954619040004</c:v>
                </c:pt>
                <c:pt idx="200">
                  <c:v>362.65058780800001</c:v>
                </c:pt>
                <c:pt idx="201">
                  <c:v>364.16162942559998</c:v>
                </c:pt>
                <c:pt idx="202">
                  <c:v>365.67267104320001</c:v>
                </c:pt>
                <c:pt idx="203">
                  <c:v>367.18371266080004</c:v>
                </c:pt>
                <c:pt idx="204">
                  <c:v>368.69475427840001</c:v>
                </c:pt>
                <c:pt idx="205">
                  <c:v>370.20579589599998</c:v>
                </c:pt>
                <c:pt idx="206">
                  <c:v>371.71683751359996</c:v>
                </c:pt>
                <c:pt idx="207">
                  <c:v>373.22787913120004</c:v>
                </c:pt>
                <c:pt idx="208">
                  <c:v>374.73892074880007</c:v>
                </c:pt>
                <c:pt idx="209">
                  <c:v>376.24996236640004</c:v>
                </c:pt>
                <c:pt idx="210">
                  <c:v>377.76100398400001</c:v>
                </c:pt>
                <c:pt idx="211">
                  <c:v>379.27204560159998</c:v>
                </c:pt>
                <c:pt idx="212">
                  <c:v>380.78308721920001</c:v>
                </c:pt>
                <c:pt idx="213">
                  <c:v>382.29412883680004</c:v>
                </c:pt>
                <c:pt idx="214">
                  <c:v>383.80517045440001</c:v>
                </c:pt>
                <c:pt idx="215">
                  <c:v>385.31621207199998</c:v>
                </c:pt>
                <c:pt idx="216">
                  <c:v>386.82725368960001</c:v>
                </c:pt>
                <c:pt idx="217">
                  <c:v>388.33829530720004</c:v>
                </c:pt>
                <c:pt idx="218">
                  <c:v>389.84933692480001</c:v>
                </c:pt>
                <c:pt idx="219">
                  <c:v>391.36037854240004</c:v>
                </c:pt>
                <c:pt idx="220">
                  <c:v>392.87142016000001</c:v>
                </c:pt>
                <c:pt idx="221">
                  <c:v>394.38246177759999</c:v>
                </c:pt>
                <c:pt idx="222">
                  <c:v>395.89350339519996</c:v>
                </c:pt>
                <c:pt idx="223">
                  <c:v>397.40454501280004</c:v>
                </c:pt>
                <c:pt idx="224">
                  <c:v>398.91558663040001</c:v>
                </c:pt>
                <c:pt idx="225">
                  <c:v>400.42662824799999</c:v>
                </c:pt>
                <c:pt idx="226">
                  <c:v>401.93766986560001</c:v>
                </c:pt>
                <c:pt idx="227">
                  <c:v>403.44871148319999</c:v>
                </c:pt>
                <c:pt idx="228">
                  <c:v>404.95975310080007</c:v>
                </c:pt>
                <c:pt idx="229">
                  <c:v>406.47079471840004</c:v>
                </c:pt>
                <c:pt idx="230">
                  <c:v>407.98183633600001</c:v>
                </c:pt>
                <c:pt idx="231">
                  <c:v>409.49287795359999</c:v>
                </c:pt>
                <c:pt idx="232">
                  <c:v>411.00391957119996</c:v>
                </c:pt>
                <c:pt idx="233">
                  <c:v>412.51496118880004</c:v>
                </c:pt>
                <c:pt idx="234">
                  <c:v>414.02600280640002</c:v>
                </c:pt>
                <c:pt idx="235">
                  <c:v>415.53704442400004</c:v>
                </c:pt>
                <c:pt idx="236">
                  <c:v>417.04808604160002</c:v>
                </c:pt>
                <c:pt idx="237">
                  <c:v>418.55912765919999</c:v>
                </c:pt>
                <c:pt idx="238">
                  <c:v>420.07016927680007</c:v>
                </c:pt>
                <c:pt idx="239">
                  <c:v>421.58121089440004</c:v>
                </c:pt>
                <c:pt idx="240">
                  <c:v>423.09225251200002</c:v>
                </c:pt>
                <c:pt idx="241">
                  <c:v>424.60329412959999</c:v>
                </c:pt>
                <c:pt idx="242">
                  <c:v>426.11433574719996</c:v>
                </c:pt>
                <c:pt idx="243">
                  <c:v>427.62537736479993</c:v>
                </c:pt>
                <c:pt idx="244">
                  <c:v>429.13641898240002</c:v>
                </c:pt>
                <c:pt idx="245">
                  <c:v>430.64746060000004</c:v>
                </c:pt>
                <c:pt idx="246">
                  <c:v>432.15850221760002</c:v>
                </c:pt>
                <c:pt idx="247">
                  <c:v>433.66954383519999</c:v>
                </c:pt>
                <c:pt idx="248">
                  <c:v>435.18058545279996</c:v>
                </c:pt>
                <c:pt idx="249">
                  <c:v>436.69162707040005</c:v>
                </c:pt>
                <c:pt idx="250">
                  <c:v>438.20266868800002</c:v>
                </c:pt>
                <c:pt idx="251">
                  <c:v>439.71371030559999</c:v>
                </c:pt>
                <c:pt idx="252">
                  <c:v>441.22475192319996</c:v>
                </c:pt>
                <c:pt idx="253">
                  <c:v>442.73579354079999</c:v>
                </c:pt>
                <c:pt idx="254">
                  <c:v>444.24683515840007</c:v>
                </c:pt>
                <c:pt idx="255">
                  <c:v>445.75787677600005</c:v>
                </c:pt>
                <c:pt idx="256">
                  <c:v>447.26891839360002</c:v>
                </c:pt>
                <c:pt idx="257">
                  <c:v>448.77996001119999</c:v>
                </c:pt>
                <c:pt idx="258">
                  <c:v>450.29100162879996</c:v>
                </c:pt>
                <c:pt idx="259">
                  <c:v>451.80204324640005</c:v>
                </c:pt>
                <c:pt idx="260">
                  <c:v>453.31308486400002</c:v>
                </c:pt>
                <c:pt idx="261">
                  <c:v>454.82412648159999</c:v>
                </c:pt>
                <c:pt idx="262">
                  <c:v>456.33516809920002</c:v>
                </c:pt>
                <c:pt idx="263">
                  <c:v>457.84620971679999</c:v>
                </c:pt>
                <c:pt idx="264">
                  <c:v>459.35725133440008</c:v>
                </c:pt>
                <c:pt idx="265">
                  <c:v>460.86829295200005</c:v>
                </c:pt>
                <c:pt idx="266">
                  <c:v>462.37933456960002</c:v>
                </c:pt>
                <c:pt idx="267">
                  <c:v>463.89037618719999</c:v>
                </c:pt>
                <c:pt idx="268">
                  <c:v>465.40141780479996</c:v>
                </c:pt>
                <c:pt idx="269">
                  <c:v>466.91245942240005</c:v>
                </c:pt>
                <c:pt idx="270">
                  <c:v>468.42350104000002</c:v>
                </c:pt>
                <c:pt idx="271">
                  <c:v>469.93454265759999</c:v>
                </c:pt>
                <c:pt idx="272">
                  <c:v>471.44558427520002</c:v>
                </c:pt>
                <c:pt idx="273">
                  <c:v>472.95662589279999</c:v>
                </c:pt>
                <c:pt idx="274">
                  <c:v>474.46766751040008</c:v>
                </c:pt>
                <c:pt idx="275">
                  <c:v>475.97870912800005</c:v>
                </c:pt>
                <c:pt idx="276">
                  <c:v>477.48975074560002</c:v>
                </c:pt>
                <c:pt idx="277">
                  <c:v>479.00079236319999</c:v>
                </c:pt>
                <c:pt idx="278">
                  <c:v>480.51183398079996</c:v>
                </c:pt>
                <c:pt idx="279">
                  <c:v>482.02287559840005</c:v>
                </c:pt>
                <c:pt idx="280">
                  <c:v>483.53391721600002</c:v>
                </c:pt>
                <c:pt idx="281">
                  <c:v>485.04495883360005</c:v>
                </c:pt>
                <c:pt idx="282">
                  <c:v>486.55600045120002</c:v>
                </c:pt>
                <c:pt idx="283">
                  <c:v>488.06704206879999</c:v>
                </c:pt>
                <c:pt idx="284">
                  <c:v>489.57808368640008</c:v>
                </c:pt>
                <c:pt idx="285">
                  <c:v>491.08912530400005</c:v>
                </c:pt>
                <c:pt idx="286">
                  <c:v>492.60016692160002</c:v>
                </c:pt>
                <c:pt idx="287">
                  <c:v>494.11120853919999</c:v>
                </c:pt>
                <c:pt idx="288">
                  <c:v>495.62225015679996</c:v>
                </c:pt>
                <c:pt idx="289">
                  <c:v>497.13329177439994</c:v>
                </c:pt>
                <c:pt idx="290">
                  <c:v>498.64433339200002</c:v>
                </c:pt>
                <c:pt idx="291">
                  <c:v>500.15537500960005</c:v>
                </c:pt>
                <c:pt idx="292">
                  <c:v>501.66641662720002</c:v>
                </c:pt>
                <c:pt idx="293">
                  <c:v>503.17745824479999</c:v>
                </c:pt>
                <c:pt idx="294">
                  <c:v>504.68849986239996</c:v>
                </c:pt>
                <c:pt idx="295">
                  <c:v>506.19954148000005</c:v>
                </c:pt>
                <c:pt idx="296">
                  <c:v>507.71058309760002</c:v>
                </c:pt>
                <c:pt idx="297">
                  <c:v>509.22162471519999</c:v>
                </c:pt>
                <c:pt idx="298">
                  <c:v>510.73266633279997</c:v>
                </c:pt>
                <c:pt idx="299">
                  <c:v>512.24370795039999</c:v>
                </c:pt>
                <c:pt idx="300">
                  <c:v>513.75474956800008</c:v>
                </c:pt>
                <c:pt idx="301">
                  <c:v>515.26579118560005</c:v>
                </c:pt>
                <c:pt idx="302">
                  <c:v>516.77683280320002</c:v>
                </c:pt>
                <c:pt idx="303">
                  <c:v>518.28787442079999</c:v>
                </c:pt>
                <c:pt idx="304">
                  <c:v>519.79891603839997</c:v>
                </c:pt>
                <c:pt idx="305">
                  <c:v>521.30995765600005</c:v>
                </c:pt>
                <c:pt idx="306">
                  <c:v>522.82099927360002</c:v>
                </c:pt>
                <c:pt idx="307">
                  <c:v>524.33204089119999</c:v>
                </c:pt>
                <c:pt idx="308">
                  <c:v>525.84308250879997</c:v>
                </c:pt>
                <c:pt idx="309">
                  <c:v>527.35412412639994</c:v>
                </c:pt>
                <c:pt idx="310">
                  <c:v>528.86516574400002</c:v>
                </c:pt>
                <c:pt idx="311">
                  <c:v>530.3762073616</c:v>
                </c:pt>
                <c:pt idx="312">
                  <c:v>531.88724897919997</c:v>
                </c:pt>
                <c:pt idx="313">
                  <c:v>533.39829059680005</c:v>
                </c:pt>
                <c:pt idx="314">
                  <c:v>534.90933221440002</c:v>
                </c:pt>
                <c:pt idx="315">
                  <c:v>536.42037383200011</c:v>
                </c:pt>
                <c:pt idx="316">
                  <c:v>537.93141544960008</c:v>
                </c:pt>
                <c:pt idx="317">
                  <c:v>539.44245706720005</c:v>
                </c:pt>
                <c:pt idx="318">
                  <c:v>540.95349868480002</c:v>
                </c:pt>
                <c:pt idx="319">
                  <c:v>542.4645403024</c:v>
                </c:pt>
                <c:pt idx="320">
                  <c:v>543.97558192000008</c:v>
                </c:pt>
                <c:pt idx="321">
                  <c:v>545.48662353760005</c:v>
                </c:pt>
                <c:pt idx="322">
                  <c:v>546.99766515520002</c:v>
                </c:pt>
                <c:pt idx="323">
                  <c:v>548.5087067728</c:v>
                </c:pt>
                <c:pt idx="324">
                  <c:v>550.01974839039997</c:v>
                </c:pt>
                <c:pt idx="325">
                  <c:v>551.53079000800005</c:v>
                </c:pt>
                <c:pt idx="326">
                  <c:v>553.04183162560003</c:v>
                </c:pt>
                <c:pt idx="327">
                  <c:v>554.5528732432</c:v>
                </c:pt>
                <c:pt idx="328">
                  <c:v>556.06391486079997</c:v>
                </c:pt>
                <c:pt idx="329">
                  <c:v>557.57495647839994</c:v>
                </c:pt>
                <c:pt idx="330">
                  <c:v>559.08599809599991</c:v>
                </c:pt>
                <c:pt idx="331">
                  <c:v>560.5970397136</c:v>
                </c:pt>
                <c:pt idx="332">
                  <c:v>562.10808133120008</c:v>
                </c:pt>
                <c:pt idx="333">
                  <c:v>563.61912294880005</c:v>
                </c:pt>
                <c:pt idx="334">
                  <c:v>565.13016456640003</c:v>
                </c:pt>
                <c:pt idx="335">
                  <c:v>566.641206184</c:v>
                </c:pt>
                <c:pt idx="336">
                  <c:v>568.15224780160008</c:v>
                </c:pt>
                <c:pt idx="337">
                  <c:v>569.66328941920005</c:v>
                </c:pt>
                <c:pt idx="338">
                  <c:v>571.17433103680003</c:v>
                </c:pt>
                <c:pt idx="339">
                  <c:v>572.6853726544</c:v>
                </c:pt>
                <c:pt idx="340">
                  <c:v>574.19641427199997</c:v>
                </c:pt>
                <c:pt idx="341">
                  <c:v>575.70745588960006</c:v>
                </c:pt>
                <c:pt idx="342">
                  <c:v>577.21849750720003</c:v>
                </c:pt>
                <c:pt idx="343">
                  <c:v>578.7295391248</c:v>
                </c:pt>
                <c:pt idx="344">
                  <c:v>580.24058074239997</c:v>
                </c:pt>
                <c:pt idx="345">
                  <c:v>581.75162235999994</c:v>
                </c:pt>
                <c:pt idx="346">
                  <c:v>583.26266397760003</c:v>
                </c:pt>
                <c:pt idx="347">
                  <c:v>584.7737055952</c:v>
                </c:pt>
                <c:pt idx="348">
                  <c:v>586.28474721279997</c:v>
                </c:pt>
                <c:pt idx="349">
                  <c:v>587.79578883039994</c:v>
                </c:pt>
                <c:pt idx="350">
                  <c:v>589.30683044800003</c:v>
                </c:pt>
                <c:pt idx="351">
                  <c:v>590.81787206560011</c:v>
                </c:pt>
                <c:pt idx="352">
                  <c:v>592.32891368320008</c:v>
                </c:pt>
                <c:pt idx="353">
                  <c:v>593.83995530080006</c:v>
                </c:pt>
                <c:pt idx="354">
                  <c:v>595.35099691840003</c:v>
                </c:pt>
                <c:pt idx="355">
                  <c:v>596.862038536</c:v>
                </c:pt>
                <c:pt idx="356">
                  <c:v>598.37308015360009</c:v>
                </c:pt>
                <c:pt idx="357">
                  <c:v>599.88412177120006</c:v>
                </c:pt>
                <c:pt idx="358">
                  <c:v>601.39516338880003</c:v>
                </c:pt>
                <c:pt idx="359">
                  <c:v>602.9062050064</c:v>
                </c:pt>
                <c:pt idx="360">
                  <c:v>604.41724662399997</c:v>
                </c:pt>
                <c:pt idx="361">
                  <c:v>605.92828824160006</c:v>
                </c:pt>
                <c:pt idx="362">
                  <c:v>607.43932985920003</c:v>
                </c:pt>
                <c:pt idx="363">
                  <c:v>608.9503714768</c:v>
                </c:pt>
                <c:pt idx="364">
                  <c:v>610.46141309439997</c:v>
                </c:pt>
                <c:pt idx="365">
                  <c:v>611.97245471199994</c:v>
                </c:pt>
                <c:pt idx="366">
                  <c:v>613.48349632960003</c:v>
                </c:pt>
                <c:pt idx="367">
                  <c:v>614.9945379472</c:v>
                </c:pt>
                <c:pt idx="368">
                  <c:v>616.50557956479997</c:v>
                </c:pt>
                <c:pt idx="369">
                  <c:v>618.01662118240006</c:v>
                </c:pt>
                <c:pt idx="370">
                  <c:v>619.52766280000003</c:v>
                </c:pt>
                <c:pt idx="371">
                  <c:v>621.0387044176</c:v>
                </c:pt>
                <c:pt idx="372">
                  <c:v>622.54974603520009</c:v>
                </c:pt>
                <c:pt idx="373">
                  <c:v>624.06078765280006</c:v>
                </c:pt>
                <c:pt idx="374">
                  <c:v>625.57182927040003</c:v>
                </c:pt>
                <c:pt idx="375">
                  <c:v>627.082870888</c:v>
                </c:pt>
                <c:pt idx="376">
                  <c:v>628.59391250559997</c:v>
                </c:pt>
                <c:pt idx="377">
                  <c:v>630.10495412320006</c:v>
                </c:pt>
                <c:pt idx="378">
                  <c:v>631.61599574080003</c:v>
                </c:pt>
                <c:pt idx="379">
                  <c:v>633.1270373584</c:v>
                </c:pt>
                <c:pt idx="380">
                  <c:v>634.63807897599997</c:v>
                </c:pt>
                <c:pt idx="381">
                  <c:v>636.14912059360006</c:v>
                </c:pt>
                <c:pt idx="382">
                  <c:v>637.66016221120003</c:v>
                </c:pt>
                <c:pt idx="383">
                  <c:v>639.1712038288</c:v>
                </c:pt>
                <c:pt idx="384">
                  <c:v>640.68224544639997</c:v>
                </c:pt>
                <c:pt idx="385">
                  <c:v>642.19328706399995</c:v>
                </c:pt>
                <c:pt idx="386">
                  <c:v>643.70432868160003</c:v>
                </c:pt>
                <c:pt idx="387">
                  <c:v>645.2153702992</c:v>
                </c:pt>
                <c:pt idx="388">
                  <c:v>646.72641191680009</c:v>
                </c:pt>
                <c:pt idx="389">
                  <c:v>648.23745353440006</c:v>
                </c:pt>
                <c:pt idx="390">
                  <c:v>649.74849515200003</c:v>
                </c:pt>
                <c:pt idx="391">
                  <c:v>651.25953676960012</c:v>
                </c:pt>
                <c:pt idx="392">
                  <c:v>652.77057838720009</c:v>
                </c:pt>
                <c:pt idx="393">
                  <c:v>654.28162000480006</c:v>
                </c:pt>
                <c:pt idx="394">
                  <c:v>655.79266162240003</c:v>
                </c:pt>
                <c:pt idx="395">
                  <c:v>657.30370324</c:v>
                </c:pt>
                <c:pt idx="396">
                  <c:v>658.81474485760009</c:v>
                </c:pt>
                <c:pt idx="397">
                  <c:v>660.32578647520006</c:v>
                </c:pt>
                <c:pt idx="398">
                  <c:v>661.83682809280003</c:v>
                </c:pt>
                <c:pt idx="399">
                  <c:v>663.3478697104</c:v>
                </c:pt>
                <c:pt idx="400">
                  <c:v>664.85891132799998</c:v>
                </c:pt>
                <c:pt idx="401">
                  <c:v>666.36995294560006</c:v>
                </c:pt>
                <c:pt idx="402">
                  <c:v>667.88099456320003</c:v>
                </c:pt>
                <c:pt idx="403">
                  <c:v>669.39203618080001</c:v>
                </c:pt>
                <c:pt idx="404">
                  <c:v>670.90307779839998</c:v>
                </c:pt>
                <c:pt idx="405">
                  <c:v>672.41411941599995</c:v>
                </c:pt>
                <c:pt idx="406">
                  <c:v>673.92516103360003</c:v>
                </c:pt>
                <c:pt idx="407">
                  <c:v>675.43620265120012</c:v>
                </c:pt>
                <c:pt idx="408">
                  <c:v>676.94724426880009</c:v>
                </c:pt>
                <c:pt idx="409">
                  <c:v>678.45828588640006</c:v>
                </c:pt>
                <c:pt idx="410">
                  <c:v>679.96932750400003</c:v>
                </c:pt>
                <c:pt idx="411">
                  <c:v>681.48036912160012</c:v>
                </c:pt>
                <c:pt idx="412">
                  <c:v>682.99141073920009</c:v>
                </c:pt>
                <c:pt idx="413">
                  <c:v>684.50245235680006</c:v>
                </c:pt>
                <c:pt idx="414">
                  <c:v>686.01349397440003</c:v>
                </c:pt>
                <c:pt idx="415">
                  <c:v>687.52453559200001</c:v>
                </c:pt>
                <c:pt idx="416">
                  <c:v>689.03557720960009</c:v>
                </c:pt>
                <c:pt idx="417">
                  <c:v>690.54661882720006</c:v>
                </c:pt>
                <c:pt idx="418">
                  <c:v>692.05766044480004</c:v>
                </c:pt>
                <c:pt idx="419">
                  <c:v>693.56870206240001</c:v>
                </c:pt>
                <c:pt idx="420">
                  <c:v>695.07974367999998</c:v>
                </c:pt>
                <c:pt idx="421">
                  <c:v>696.59078529760006</c:v>
                </c:pt>
                <c:pt idx="422">
                  <c:v>698.10182691520004</c:v>
                </c:pt>
                <c:pt idx="423">
                  <c:v>699.61286853280001</c:v>
                </c:pt>
                <c:pt idx="424">
                  <c:v>701.12391015039998</c:v>
                </c:pt>
                <c:pt idx="425">
                  <c:v>702.63495176800006</c:v>
                </c:pt>
                <c:pt idx="426">
                  <c:v>704.14599338560004</c:v>
                </c:pt>
                <c:pt idx="427">
                  <c:v>705.65703500320012</c:v>
                </c:pt>
                <c:pt idx="428">
                  <c:v>707.16807662080009</c:v>
                </c:pt>
                <c:pt idx="429">
                  <c:v>708.67911823840006</c:v>
                </c:pt>
                <c:pt idx="430">
                  <c:v>710.19015985600004</c:v>
                </c:pt>
                <c:pt idx="431">
                  <c:v>711.70120147360001</c:v>
                </c:pt>
                <c:pt idx="432">
                  <c:v>713.21224309120009</c:v>
                </c:pt>
                <c:pt idx="433">
                  <c:v>714.72328470880007</c:v>
                </c:pt>
                <c:pt idx="434">
                  <c:v>716.23432632640004</c:v>
                </c:pt>
                <c:pt idx="435">
                  <c:v>717.74536794400001</c:v>
                </c:pt>
                <c:pt idx="436">
                  <c:v>719.25640956159998</c:v>
                </c:pt>
                <c:pt idx="437">
                  <c:v>720.76745117920007</c:v>
                </c:pt>
                <c:pt idx="438">
                  <c:v>722.27849279680004</c:v>
                </c:pt>
                <c:pt idx="439">
                  <c:v>723.78953441440001</c:v>
                </c:pt>
                <c:pt idx="440">
                  <c:v>725.30057603199998</c:v>
                </c:pt>
                <c:pt idx="441">
                  <c:v>726.81161764959995</c:v>
                </c:pt>
                <c:pt idx="442">
                  <c:v>728.32265926720004</c:v>
                </c:pt>
                <c:pt idx="443">
                  <c:v>729.83370088480001</c:v>
                </c:pt>
                <c:pt idx="444">
                  <c:v>731.34474250240009</c:v>
                </c:pt>
                <c:pt idx="445">
                  <c:v>732.85578412000007</c:v>
                </c:pt>
                <c:pt idx="446">
                  <c:v>734.36682573760004</c:v>
                </c:pt>
                <c:pt idx="447">
                  <c:v>735.87786735520012</c:v>
                </c:pt>
                <c:pt idx="448">
                  <c:v>737.3889089728001</c:v>
                </c:pt>
                <c:pt idx="449">
                  <c:v>738.89995059040007</c:v>
                </c:pt>
                <c:pt idx="450">
                  <c:v>740.41099220800004</c:v>
                </c:pt>
                <c:pt idx="451">
                  <c:v>741.92203382560001</c:v>
                </c:pt>
                <c:pt idx="452">
                  <c:v>743.4330754432001</c:v>
                </c:pt>
                <c:pt idx="453">
                  <c:v>744.94411706080007</c:v>
                </c:pt>
                <c:pt idx="454">
                  <c:v>746.45515867840004</c:v>
                </c:pt>
                <c:pt idx="455">
                  <c:v>747.96620029600001</c:v>
                </c:pt>
                <c:pt idx="456">
                  <c:v>749.47724191359998</c:v>
                </c:pt>
                <c:pt idx="457">
                  <c:v>750.98828353120007</c:v>
                </c:pt>
                <c:pt idx="458">
                  <c:v>752.49932514880004</c:v>
                </c:pt>
                <c:pt idx="459">
                  <c:v>754.01036676640001</c:v>
                </c:pt>
                <c:pt idx="460">
                  <c:v>755.52140838399998</c:v>
                </c:pt>
                <c:pt idx="461">
                  <c:v>757.03245000160007</c:v>
                </c:pt>
                <c:pt idx="462">
                  <c:v>758.54349161920015</c:v>
                </c:pt>
                <c:pt idx="463">
                  <c:v>760.05453323680013</c:v>
                </c:pt>
                <c:pt idx="464">
                  <c:v>761.5655748544001</c:v>
                </c:pt>
                <c:pt idx="465">
                  <c:v>763.07661647200007</c:v>
                </c:pt>
                <c:pt idx="466">
                  <c:v>764.58765808960004</c:v>
                </c:pt>
                <c:pt idx="467">
                  <c:v>766.09869970720001</c:v>
                </c:pt>
                <c:pt idx="468">
                  <c:v>767.6097413248001</c:v>
                </c:pt>
                <c:pt idx="469">
                  <c:v>769.12078294240007</c:v>
                </c:pt>
                <c:pt idx="470">
                  <c:v>770.63182456000004</c:v>
                </c:pt>
                <c:pt idx="471">
                  <c:v>772.14286617760001</c:v>
                </c:pt>
                <c:pt idx="472">
                  <c:v>773.65390779519998</c:v>
                </c:pt>
                <c:pt idx="473">
                  <c:v>775.16494941280007</c:v>
                </c:pt>
                <c:pt idx="474">
                  <c:v>776.67599103040004</c:v>
                </c:pt>
                <c:pt idx="475">
                  <c:v>778.18703264800001</c:v>
                </c:pt>
                <c:pt idx="476">
                  <c:v>779.69807426559998</c:v>
                </c:pt>
                <c:pt idx="477">
                  <c:v>781.20911588319996</c:v>
                </c:pt>
                <c:pt idx="478">
                  <c:v>782.72015750080004</c:v>
                </c:pt>
                <c:pt idx="479">
                  <c:v>784.23119911840001</c:v>
                </c:pt>
                <c:pt idx="480">
                  <c:v>785.7422407360001</c:v>
                </c:pt>
                <c:pt idx="481">
                  <c:v>787.25328235360007</c:v>
                </c:pt>
                <c:pt idx="482">
                  <c:v>788.76432397120004</c:v>
                </c:pt>
                <c:pt idx="483">
                  <c:v>790.27536558880013</c:v>
                </c:pt>
                <c:pt idx="484">
                  <c:v>791.7864072064001</c:v>
                </c:pt>
                <c:pt idx="485">
                  <c:v>793.29744882400007</c:v>
                </c:pt>
                <c:pt idx="486">
                  <c:v>794.80849044160004</c:v>
                </c:pt>
                <c:pt idx="487">
                  <c:v>796.31953205920001</c:v>
                </c:pt>
                <c:pt idx="488">
                  <c:v>797.8305736768001</c:v>
                </c:pt>
                <c:pt idx="489">
                  <c:v>799.34161529440007</c:v>
                </c:pt>
                <c:pt idx="490">
                  <c:v>800.85265691200004</c:v>
                </c:pt>
                <c:pt idx="491">
                  <c:v>802.36369852960001</c:v>
                </c:pt>
                <c:pt idx="492">
                  <c:v>803.87474014719999</c:v>
                </c:pt>
                <c:pt idx="493">
                  <c:v>805.38578176480007</c:v>
                </c:pt>
                <c:pt idx="494">
                  <c:v>806.89682338240004</c:v>
                </c:pt>
                <c:pt idx="495">
                  <c:v>808.4078649999999</c:v>
                </c:pt>
                <c:pt idx="496">
                  <c:v>809.91890661759999</c:v>
                </c:pt>
                <c:pt idx="497">
                  <c:v>811.42994823519996</c:v>
                </c:pt>
                <c:pt idx="498">
                  <c:v>812.94098985280004</c:v>
                </c:pt>
                <c:pt idx="499">
                  <c:v>814.45203147040013</c:v>
                </c:pt>
                <c:pt idx="500">
                  <c:v>815.9630730880001</c:v>
                </c:pt>
                <c:pt idx="501">
                  <c:v>817.47411470560007</c:v>
                </c:pt>
                <c:pt idx="502">
                  <c:v>818.98515632320004</c:v>
                </c:pt>
                <c:pt idx="503">
                  <c:v>820.49619794080013</c:v>
                </c:pt>
                <c:pt idx="504">
                  <c:v>822.0072395584001</c:v>
                </c:pt>
                <c:pt idx="505">
                  <c:v>823.51828117600007</c:v>
                </c:pt>
                <c:pt idx="506">
                  <c:v>825.02932279360004</c:v>
                </c:pt>
                <c:pt idx="507">
                  <c:v>826.54036441120002</c:v>
                </c:pt>
                <c:pt idx="508">
                  <c:v>828.0514060288001</c:v>
                </c:pt>
                <c:pt idx="509">
                  <c:v>829.56244764640007</c:v>
                </c:pt>
                <c:pt idx="510">
                  <c:v>831.07348926400005</c:v>
                </c:pt>
                <c:pt idx="511">
                  <c:v>832.58453088160002</c:v>
                </c:pt>
                <c:pt idx="512">
                  <c:v>834.09557249919999</c:v>
                </c:pt>
                <c:pt idx="513">
                  <c:v>835.60661411679996</c:v>
                </c:pt>
                <c:pt idx="514">
                  <c:v>837.11765573440005</c:v>
                </c:pt>
                <c:pt idx="515">
                  <c:v>838.62869735200002</c:v>
                </c:pt>
                <c:pt idx="516">
                  <c:v>840.13973896959999</c:v>
                </c:pt>
                <c:pt idx="517">
                  <c:v>841.65078058720007</c:v>
                </c:pt>
                <c:pt idx="518">
                  <c:v>843.16182220480005</c:v>
                </c:pt>
                <c:pt idx="519">
                  <c:v>844.67286382240013</c:v>
                </c:pt>
                <c:pt idx="520">
                  <c:v>846.1839054400001</c:v>
                </c:pt>
                <c:pt idx="521">
                  <c:v>847.69494705760007</c:v>
                </c:pt>
                <c:pt idx="522">
                  <c:v>849.20598867520005</c:v>
                </c:pt>
                <c:pt idx="523">
                  <c:v>850.71703029280002</c:v>
                </c:pt>
                <c:pt idx="524">
                  <c:v>852.2280719104001</c:v>
                </c:pt>
                <c:pt idx="525">
                  <c:v>853.73911352800008</c:v>
                </c:pt>
                <c:pt idx="526">
                  <c:v>855.25015514560005</c:v>
                </c:pt>
                <c:pt idx="527">
                  <c:v>856.76119676320002</c:v>
                </c:pt>
                <c:pt idx="528">
                  <c:v>858.27223838079999</c:v>
                </c:pt>
                <c:pt idx="529">
                  <c:v>859.78327999840008</c:v>
                </c:pt>
                <c:pt idx="530">
                  <c:v>861.29432161600005</c:v>
                </c:pt>
                <c:pt idx="531">
                  <c:v>862.80536323360002</c:v>
                </c:pt>
                <c:pt idx="532">
                  <c:v>864.31640485119999</c:v>
                </c:pt>
                <c:pt idx="533">
                  <c:v>865.82744646879996</c:v>
                </c:pt>
                <c:pt idx="534">
                  <c:v>867.33848808640005</c:v>
                </c:pt>
                <c:pt idx="535">
                  <c:v>868.84952970400002</c:v>
                </c:pt>
                <c:pt idx="536">
                  <c:v>870.3605713216001</c:v>
                </c:pt>
                <c:pt idx="537">
                  <c:v>871.87161293920008</c:v>
                </c:pt>
                <c:pt idx="538">
                  <c:v>873.38265455680005</c:v>
                </c:pt>
                <c:pt idx="539">
                  <c:v>874.89369617440013</c:v>
                </c:pt>
                <c:pt idx="540">
                  <c:v>876.40473779200011</c:v>
                </c:pt>
                <c:pt idx="541">
                  <c:v>877.91577940960008</c:v>
                </c:pt>
                <c:pt idx="542">
                  <c:v>879.42682102720005</c:v>
                </c:pt>
                <c:pt idx="543">
                  <c:v>880.93786264480002</c:v>
                </c:pt>
                <c:pt idx="544">
                  <c:v>882.44890426240011</c:v>
                </c:pt>
                <c:pt idx="545">
                  <c:v>883.95994588000008</c:v>
                </c:pt>
                <c:pt idx="546">
                  <c:v>885.47098749760005</c:v>
                </c:pt>
                <c:pt idx="547">
                  <c:v>886.98202911520002</c:v>
                </c:pt>
                <c:pt idx="548">
                  <c:v>888.49307073279999</c:v>
                </c:pt>
                <c:pt idx="549">
                  <c:v>890.00411235040008</c:v>
                </c:pt>
                <c:pt idx="550">
                  <c:v>891.51515396800005</c:v>
                </c:pt>
                <c:pt idx="551">
                  <c:v>893.02619558560002</c:v>
                </c:pt>
                <c:pt idx="552">
                  <c:v>894.53723720319999</c:v>
                </c:pt>
                <c:pt idx="553">
                  <c:v>896.04827882079996</c:v>
                </c:pt>
                <c:pt idx="554">
                  <c:v>897.55932043840005</c:v>
                </c:pt>
                <c:pt idx="555">
                  <c:v>899.07036205600014</c:v>
                </c:pt>
                <c:pt idx="556">
                  <c:v>900.58140367360011</c:v>
                </c:pt>
                <c:pt idx="557">
                  <c:v>902.09244529120008</c:v>
                </c:pt>
                <c:pt idx="558">
                  <c:v>903.60348690880005</c:v>
                </c:pt>
                <c:pt idx="559">
                  <c:v>905.11452852640002</c:v>
                </c:pt>
                <c:pt idx="560">
                  <c:v>906.62557014400011</c:v>
                </c:pt>
                <c:pt idx="561">
                  <c:v>908.13661176160008</c:v>
                </c:pt>
                <c:pt idx="562">
                  <c:v>909.64765337920005</c:v>
                </c:pt>
                <c:pt idx="563">
                  <c:v>911.15869499680002</c:v>
                </c:pt>
                <c:pt idx="564">
                  <c:v>912.66973661439999</c:v>
                </c:pt>
                <c:pt idx="565">
                  <c:v>914.18077823200008</c:v>
                </c:pt>
                <c:pt idx="566">
                  <c:v>915.69181984960005</c:v>
                </c:pt>
                <c:pt idx="567">
                  <c:v>917.20286146720002</c:v>
                </c:pt>
                <c:pt idx="568">
                  <c:v>918.71390308479999</c:v>
                </c:pt>
                <c:pt idx="569">
                  <c:v>920.22494470239997</c:v>
                </c:pt>
                <c:pt idx="570">
                  <c:v>921.73598632000005</c:v>
                </c:pt>
                <c:pt idx="571">
                  <c:v>923.24702793760002</c:v>
                </c:pt>
                <c:pt idx="572">
                  <c:v>924.7580695552</c:v>
                </c:pt>
                <c:pt idx="573">
                  <c:v>926.26911117280008</c:v>
                </c:pt>
                <c:pt idx="574">
                  <c:v>927.78015279040005</c:v>
                </c:pt>
                <c:pt idx="575">
                  <c:v>929.29119440800014</c:v>
                </c:pt>
                <c:pt idx="576">
                  <c:v>930.80223602560011</c:v>
                </c:pt>
                <c:pt idx="577">
                  <c:v>932.31327764320008</c:v>
                </c:pt>
                <c:pt idx="578">
                  <c:v>933.82431926080005</c:v>
                </c:pt>
                <c:pt idx="579">
                  <c:v>935.33536087840002</c:v>
                </c:pt>
                <c:pt idx="580">
                  <c:v>936.84640249600011</c:v>
                </c:pt>
                <c:pt idx="581">
                  <c:v>938.35744411360008</c:v>
                </c:pt>
                <c:pt idx="582">
                  <c:v>939.86848573120005</c:v>
                </c:pt>
                <c:pt idx="583">
                  <c:v>941.37952734880002</c:v>
                </c:pt>
                <c:pt idx="584">
                  <c:v>942.8905689664</c:v>
                </c:pt>
                <c:pt idx="585">
                  <c:v>944.40161058400008</c:v>
                </c:pt>
                <c:pt idx="586">
                  <c:v>945.91265220160005</c:v>
                </c:pt>
                <c:pt idx="587">
                  <c:v>947.42369381920003</c:v>
                </c:pt>
                <c:pt idx="588">
                  <c:v>948.9347354368</c:v>
                </c:pt>
                <c:pt idx="589">
                  <c:v>950.44577705439997</c:v>
                </c:pt>
                <c:pt idx="590">
                  <c:v>951.95681867200005</c:v>
                </c:pt>
                <c:pt idx="591">
                  <c:v>953.46786028960003</c:v>
                </c:pt>
                <c:pt idx="592">
                  <c:v>954.97890190720011</c:v>
                </c:pt>
                <c:pt idx="593">
                  <c:v>956.48994352480008</c:v>
                </c:pt>
                <c:pt idx="594">
                  <c:v>958.00098514240005</c:v>
                </c:pt>
                <c:pt idx="595">
                  <c:v>959.51202675999991</c:v>
                </c:pt>
                <c:pt idx="596">
                  <c:v>961.0230683776</c:v>
                </c:pt>
                <c:pt idx="597">
                  <c:v>962.53410999520008</c:v>
                </c:pt>
                <c:pt idx="598">
                  <c:v>964.04515161279994</c:v>
                </c:pt>
                <c:pt idx="599">
                  <c:v>965.55619323040003</c:v>
                </c:pt>
                <c:pt idx="600">
                  <c:v>967.06723484799988</c:v>
                </c:pt>
                <c:pt idx="601">
                  <c:v>968.57827646559997</c:v>
                </c:pt>
                <c:pt idx="602">
                  <c:v>970.08931808320006</c:v>
                </c:pt>
                <c:pt idx="603">
                  <c:v>971.60035970079991</c:v>
                </c:pt>
                <c:pt idx="604">
                  <c:v>973.1114013184</c:v>
                </c:pt>
                <c:pt idx="605">
                  <c:v>974.62244293599986</c:v>
                </c:pt>
                <c:pt idx="606">
                  <c:v>976.13348455359994</c:v>
                </c:pt>
                <c:pt idx="607">
                  <c:v>977.64452617120003</c:v>
                </c:pt>
                <c:pt idx="608">
                  <c:v>979.15556778879989</c:v>
                </c:pt>
                <c:pt idx="609">
                  <c:v>980.66660940639997</c:v>
                </c:pt>
                <c:pt idx="610">
                  <c:v>982.17765102399994</c:v>
                </c:pt>
                <c:pt idx="611">
                  <c:v>983.68869264160003</c:v>
                </c:pt>
                <c:pt idx="612">
                  <c:v>985.19973425920011</c:v>
                </c:pt>
                <c:pt idx="613">
                  <c:v>986.71077587679997</c:v>
                </c:pt>
                <c:pt idx="614">
                  <c:v>988.22181749440006</c:v>
                </c:pt>
                <c:pt idx="615">
                  <c:v>989.73285911199991</c:v>
                </c:pt>
                <c:pt idx="616">
                  <c:v>991.2439007296</c:v>
                </c:pt>
                <c:pt idx="617">
                  <c:v>992.75494234720009</c:v>
                </c:pt>
                <c:pt idx="618">
                  <c:v>994.26598396479994</c:v>
                </c:pt>
                <c:pt idx="619">
                  <c:v>995.77702558240003</c:v>
                </c:pt>
                <c:pt idx="620">
                  <c:v>997.28806719999989</c:v>
                </c:pt>
                <c:pt idx="621">
                  <c:v>998.79910881759997</c:v>
                </c:pt>
                <c:pt idx="622">
                  <c:v>1000.3101504352001</c:v>
                </c:pt>
                <c:pt idx="623">
                  <c:v>1001.8211920527999</c:v>
                </c:pt>
                <c:pt idx="624">
                  <c:v>1003.3322336704</c:v>
                </c:pt>
                <c:pt idx="625">
                  <c:v>1004.8432752879999</c:v>
                </c:pt>
                <c:pt idx="626">
                  <c:v>1006.3543169055999</c:v>
                </c:pt>
                <c:pt idx="627">
                  <c:v>1007.8653585232</c:v>
                </c:pt>
                <c:pt idx="628">
                  <c:v>1009.3764001408</c:v>
                </c:pt>
                <c:pt idx="629">
                  <c:v>1010.8874417584001</c:v>
                </c:pt>
                <c:pt idx="630">
                  <c:v>1012.3984833759999</c:v>
                </c:pt>
                <c:pt idx="631">
                  <c:v>1013.9095249936</c:v>
                </c:pt>
                <c:pt idx="632">
                  <c:v>1015.4205666112001</c:v>
                </c:pt>
                <c:pt idx="633">
                  <c:v>1016.9316082288</c:v>
                </c:pt>
                <c:pt idx="634">
                  <c:v>1018.4426498464001</c:v>
                </c:pt>
                <c:pt idx="635">
                  <c:v>1019.9536914639999</c:v>
                </c:pt>
                <c:pt idx="636">
                  <c:v>1021.4647330816</c:v>
                </c:pt>
                <c:pt idx="637">
                  <c:v>1022.9757746992001</c:v>
                </c:pt>
                <c:pt idx="638">
                  <c:v>1024.4868163168001</c:v>
                </c:pt>
                <c:pt idx="639">
                  <c:v>1025.9978579344001</c:v>
                </c:pt>
                <c:pt idx="640">
                  <c:v>1027.508899552</c:v>
                </c:pt>
                <c:pt idx="641">
                  <c:v>1029.0199411696001</c:v>
                </c:pt>
                <c:pt idx="642">
                  <c:v>1030.5309827872002</c:v>
                </c:pt>
                <c:pt idx="643">
                  <c:v>1032.0420244048</c:v>
                </c:pt>
                <c:pt idx="644">
                  <c:v>1033.5530660224001</c:v>
                </c:pt>
                <c:pt idx="645">
                  <c:v>1035.06410764</c:v>
                </c:pt>
                <c:pt idx="646">
                  <c:v>1036.5751492576001</c:v>
                </c:pt>
                <c:pt idx="647">
                  <c:v>1038.0861908752001</c:v>
                </c:pt>
                <c:pt idx="648">
                  <c:v>1039.5972324928</c:v>
                </c:pt>
                <c:pt idx="649">
                  <c:v>1041.1082741104001</c:v>
                </c:pt>
                <c:pt idx="650">
                  <c:v>1042.6193157279999</c:v>
                </c:pt>
                <c:pt idx="651">
                  <c:v>1044.1303573456</c:v>
                </c:pt>
                <c:pt idx="652">
                  <c:v>1045.6413989632001</c:v>
                </c:pt>
                <c:pt idx="653">
                  <c:v>1047.1524405808</c:v>
                </c:pt>
                <c:pt idx="654">
                  <c:v>1048.6634821984001</c:v>
                </c:pt>
                <c:pt idx="655">
                  <c:v>1050.1745238159999</c:v>
                </c:pt>
                <c:pt idx="656">
                  <c:v>1051.6855654336</c:v>
                </c:pt>
                <c:pt idx="657">
                  <c:v>1053.1966070512001</c:v>
                </c:pt>
                <c:pt idx="658">
                  <c:v>1054.7076486687999</c:v>
                </c:pt>
                <c:pt idx="659">
                  <c:v>1056.2186902864</c:v>
                </c:pt>
                <c:pt idx="660">
                  <c:v>1057.7297319039999</c:v>
                </c:pt>
                <c:pt idx="661">
                  <c:v>1059.2407735216</c:v>
                </c:pt>
                <c:pt idx="662">
                  <c:v>1060.7518151392001</c:v>
                </c:pt>
                <c:pt idx="663">
                  <c:v>1062.2628567567999</c:v>
                </c:pt>
                <c:pt idx="664">
                  <c:v>1063.7738983744</c:v>
                </c:pt>
                <c:pt idx="665">
                  <c:v>1065.2849399919999</c:v>
                </c:pt>
                <c:pt idx="666">
                  <c:v>1066.7959816095999</c:v>
                </c:pt>
                <c:pt idx="667">
                  <c:v>1068.3070232272</c:v>
                </c:pt>
                <c:pt idx="668">
                  <c:v>1069.8180648447999</c:v>
                </c:pt>
                <c:pt idx="669">
                  <c:v>1071.3291064624</c:v>
                </c:pt>
                <c:pt idx="670">
                  <c:v>1072.8401480799998</c:v>
                </c:pt>
                <c:pt idx="671">
                  <c:v>1074.3511896975999</c:v>
                </c:pt>
                <c:pt idx="672">
                  <c:v>1075.8622313152</c:v>
                </c:pt>
                <c:pt idx="673">
                  <c:v>1077.3732729327999</c:v>
                </c:pt>
                <c:pt idx="674">
                  <c:v>1078.8843145503999</c:v>
                </c:pt>
                <c:pt idx="675">
                  <c:v>1080.395356168</c:v>
                </c:pt>
              </c:numCache>
            </c:numRef>
          </c:xVal>
          <c:yVal>
            <c:numRef>
              <c:f>'K1860'!$B$3:$B$678</c:f>
              <c:numCache>
                <c:formatCode>General</c:formatCode>
                <c:ptCount val="676"/>
                <c:pt idx="0">
                  <c:v>0.94825000000000004</c:v>
                </c:pt>
                <c:pt idx="1">
                  <c:v>0.94174000000000002</c:v>
                </c:pt>
                <c:pt idx="2">
                  <c:v>0.90830999999999995</c:v>
                </c:pt>
                <c:pt idx="3">
                  <c:v>0.88246000000000002</c:v>
                </c:pt>
                <c:pt idx="4">
                  <c:v>0.87199000000000004</c:v>
                </c:pt>
                <c:pt idx="5">
                  <c:v>0.87192999999999998</c:v>
                </c:pt>
                <c:pt idx="6">
                  <c:v>0.88775999999999999</c:v>
                </c:pt>
                <c:pt idx="7">
                  <c:v>0.88073000000000001</c:v>
                </c:pt>
                <c:pt idx="8">
                  <c:v>0.92764999999999997</c:v>
                </c:pt>
                <c:pt idx="9">
                  <c:v>0.96082000000000001</c:v>
                </c:pt>
                <c:pt idx="10">
                  <c:v>0.93915000000000004</c:v>
                </c:pt>
                <c:pt idx="11">
                  <c:v>0.96775</c:v>
                </c:pt>
                <c:pt idx="12">
                  <c:v>0.93039000000000005</c:v>
                </c:pt>
                <c:pt idx="13">
                  <c:v>0.96653999999999995</c:v>
                </c:pt>
                <c:pt idx="14">
                  <c:v>0.97</c:v>
                </c:pt>
                <c:pt idx="15">
                  <c:v>0.98453000000000002</c:v>
                </c:pt>
                <c:pt idx="16">
                  <c:v>0.95820000000000005</c:v>
                </c:pt>
                <c:pt idx="17">
                  <c:v>0.96606999999999998</c:v>
                </c:pt>
                <c:pt idx="18">
                  <c:v>0.98902000000000001</c:v>
                </c:pt>
                <c:pt idx="19">
                  <c:v>0.98667000000000005</c:v>
                </c:pt>
                <c:pt idx="20">
                  <c:v>0.97921000000000002</c:v>
                </c:pt>
                <c:pt idx="21">
                  <c:v>0.95169999999999999</c:v>
                </c:pt>
                <c:pt idx="22">
                  <c:v>0.97180999999999995</c:v>
                </c:pt>
                <c:pt idx="23">
                  <c:v>0.98758999999999997</c:v>
                </c:pt>
                <c:pt idx="24">
                  <c:v>0.98429</c:v>
                </c:pt>
                <c:pt idx="25">
                  <c:v>0.98307999999999995</c:v>
                </c:pt>
                <c:pt idx="26">
                  <c:v>0.97009999999999996</c:v>
                </c:pt>
                <c:pt idx="27">
                  <c:v>0.96428999999999998</c:v>
                </c:pt>
                <c:pt idx="28">
                  <c:v>0.97567999999999999</c:v>
                </c:pt>
                <c:pt idx="29">
                  <c:v>1.0015099999999999</c:v>
                </c:pt>
                <c:pt idx="30">
                  <c:v>0.99997999999999998</c:v>
                </c:pt>
                <c:pt idx="31">
                  <c:v>0.99317999999999995</c:v>
                </c:pt>
                <c:pt idx="32">
                  <c:v>0.99411000000000005</c:v>
                </c:pt>
                <c:pt idx="33">
                  <c:v>0.99860000000000004</c:v>
                </c:pt>
                <c:pt idx="34">
                  <c:v>1.00552</c:v>
                </c:pt>
                <c:pt idx="35">
                  <c:v>0.99429999999999996</c:v>
                </c:pt>
                <c:pt idx="36">
                  <c:v>0.98546</c:v>
                </c:pt>
                <c:pt idx="37">
                  <c:v>0.98319999999999996</c:v>
                </c:pt>
                <c:pt idx="38">
                  <c:v>0.98778999999999995</c:v>
                </c:pt>
                <c:pt idx="39">
                  <c:v>0.97302999999999995</c:v>
                </c:pt>
                <c:pt idx="40">
                  <c:v>0.98075000000000001</c:v>
                </c:pt>
                <c:pt idx="41">
                  <c:v>0.99077999999999999</c:v>
                </c:pt>
                <c:pt idx="42">
                  <c:v>0.99038000000000004</c:v>
                </c:pt>
                <c:pt idx="43">
                  <c:v>0.98911000000000004</c:v>
                </c:pt>
                <c:pt idx="44">
                  <c:v>0.99060000000000004</c:v>
                </c:pt>
                <c:pt idx="45">
                  <c:v>0.97909000000000002</c:v>
                </c:pt>
                <c:pt idx="46">
                  <c:v>0.96484999999999999</c:v>
                </c:pt>
                <c:pt idx="47">
                  <c:v>0.96682000000000001</c:v>
                </c:pt>
                <c:pt idx="48">
                  <c:v>0.96933999999999998</c:v>
                </c:pt>
                <c:pt idx="49">
                  <c:v>0.97055999999999998</c:v>
                </c:pt>
                <c:pt idx="50">
                  <c:v>0.96272999999999997</c:v>
                </c:pt>
                <c:pt idx="51">
                  <c:v>0.95491999999999999</c:v>
                </c:pt>
                <c:pt idx="52">
                  <c:v>0.95077999999999996</c:v>
                </c:pt>
                <c:pt idx="53">
                  <c:v>0.94711999999999996</c:v>
                </c:pt>
                <c:pt idx="54">
                  <c:v>0.94545999999999997</c:v>
                </c:pt>
                <c:pt idx="55">
                  <c:v>0.93988000000000005</c:v>
                </c:pt>
                <c:pt idx="56">
                  <c:v>0.93459000000000003</c:v>
                </c:pt>
                <c:pt idx="57">
                  <c:v>0.93572</c:v>
                </c:pt>
                <c:pt idx="58">
                  <c:v>0.93777999999999995</c:v>
                </c:pt>
                <c:pt idx="59">
                  <c:v>0.94162000000000001</c:v>
                </c:pt>
                <c:pt idx="60">
                  <c:v>0.94423999999999997</c:v>
                </c:pt>
                <c:pt idx="61">
                  <c:v>0.94540000000000002</c:v>
                </c:pt>
                <c:pt idx="62">
                  <c:v>0.94896000000000003</c:v>
                </c:pt>
                <c:pt idx="63">
                  <c:v>0.95609999999999995</c:v>
                </c:pt>
                <c:pt idx="64">
                  <c:v>0.96167999999999998</c:v>
                </c:pt>
                <c:pt idx="65">
                  <c:v>0.96875</c:v>
                </c:pt>
                <c:pt idx="66">
                  <c:v>0.97343000000000002</c:v>
                </c:pt>
                <c:pt idx="67">
                  <c:v>0.97604000000000002</c:v>
                </c:pt>
                <c:pt idx="68">
                  <c:v>0.97541999999999995</c:v>
                </c:pt>
                <c:pt idx="69">
                  <c:v>0.96928000000000003</c:v>
                </c:pt>
                <c:pt idx="70">
                  <c:v>0.96501000000000003</c:v>
                </c:pt>
                <c:pt idx="71">
                  <c:v>0.95977999999999997</c:v>
                </c:pt>
                <c:pt idx="72">
                  <c:v>0.95145999999999997</c:v>
                </c:pt>
                <c:pt idx="73">
                  <c:v>0.94198999999999999</c:v>
                </c:pt>
                <c:pt idx="74">
                  <c:v>0.93352000000000002</c:v>
                </c:pt>
                <c:pt idx="75">
                  <c:v>0.92605000000000004</c:v>
                </c:pt>
                <c:pt idx="76">
                  <c:v>0.91676000000000002</c:v>
                </c:pt>
                <c:pt idx="77">
                  <c:v>0.90697000000000005</c:v>
                </c:pt>
                <c:pt idx="78">
                  <c:v>0.90014000000000005</c:v>
                </c:pt>
                <c:pt idx="79">
                  <c:v>0.89261000000000001</c:v>
                </c:pt>
                <c:pt idx="80">
                  <c:v>0.88615999999999995</c:v>
                </c:pt>
                <c:pt idx="81">
                  <c:v>0.88610999999999995</c:v>
                </c:pt>
                <c:pt idx="82">
                  <c:v>0.89217000000000002</c:v>
                </c:pt>
                <c:pt idx="83">
                  <c:v>0.89966000000000002</c:v>
                </c:pt>
                <c:pt idx="84">
                  <c:v>0.90581</c:v>
                </c:pt>
                <c:pt idx="85">
                  <c:v>0.91202000000000005</c:v>
                </c:pt>
                <c:pt idx="86">
                  <c:v>0.92315000000000003</c:v>
                </c:pt>
                <c:pt idx="87">
                  <c:v>0.93440000000000001</c:v>
                </c:pt>
                <c:pt idx="88">
                  <c:v>0.94340000000000002</c:v>
                </c:pt>
                <c:pt idx="89">
                  <c:v>0.95194000000000001</c:v>
                </c:pt>
                <c:pt idx="90">
                  <c:v>0.95796000000000003</c:v>
                </c:pt>
                <c:pt idx="91">
                  <c:v>0.96077999999999997</c:v>
                </c:pt>
                <c:pt idx="92">
                  <c:v>0.95492999999999995</c:v>
                </c:pt>
                <c:pt idx="93">
                  <c:v>0.94320000000000004</c:v>
                </c:pt>
                <c:pt idx="94">
                  <c:v>0.93357000000000001</c:v>
                </c:pt>
                <c:pt idx="95">
                  <c:v>0.92193999999999998</c:v>
                </c:pt>
                <c:pt idx="96">
                  <c:v>0.90342999999999996</c:v>
                </c:pt>
                <c:pt idx="97">
                  <c:v>0.88102000000000003</c:v>
                </c:pt>
                <c:pt idx="98">
                  <c:v>0.85979000000000005</c:v>
                </c:pt>
                <c:pt idx="99">
                  <c:v>0.84358</c:v>
                </c:pt>
                <c:pt idx="100">
                  <c:v>0.82838999999999996</c:v>
                </c:pt>
                <c:pt idx="101">
                  <c:v>0.8125</c:v>
                </c:pt>
                <c:pt idx="102">
                  <c:v>0.80164999999999997</c:v>
                </c:pt>
                <c:pt idx="103">
                  <c:v>0.79862999999999995</c:v>
                </c:pt>
                <c:pt idx="104">
                  <c:v>0.80022000000000004</c:v>
                </c:pt>
                <c:pt idx="105">
                  <c:v>0.80488999999999999</c:v>
                </c:pt>
                <c:pt idx="106">
                  <c:v>0.81284000000000001</c:v>
                </c:pt>
                <c:pt idx="107">
                  <c:v>0.82606000000000002</c:v>
                </c:pt>
                <c:pt idx="108">
                  <c:v>0.84291000000000005</c:v>
                </c:pt>
                <c:pt idx="109">
                  <c:v>0.86045000000000005</c:v>
                </c:pt>
                <c:pt idx="110">
                  <c:v>0.88073000000000001</c:v>
                </c:pt>
                <c:pt idx="111">
                  <c:v>0.90076000000000001</c:v>
                </c:pt>
                <c:pt idx="112">
                  <c:v>0.91518999999999995</c:v>
                </c:pt>
                <c:pt idx="113">
                  <c:v>0.92298999999999998</c:v>
                </c:pt>
                <c:pt idx="114">
                  <c:v>0.92398000000000002</c:v>
                </c:pt>
                <c:pt idx="115">
                  <c:v>0.91617999999999999</c:v>
                </c:pt>
                <c:pt idx="116">
                  <c:v>0.89893000000000001</c:v>
                </c:pt>
                <c:pt idx="117">
                  <c:v>0.87507000000000001</c:v>
                </c:pt>
                <c:pt idx="118">
                  <c:v>0.84741999999999995</c:v>
                </c:pt>
                <c:pt idx="119">
                  <c:v>0.81645000000000001</c:v>
                </c:pt>
                <c:pt idx="120">
                  <c:v>0.78559999999999997</c:v>
                </c:pt>
                <c:pt idx="121">
                  <c:v>0.75777000000000005</c:v>
                </c:pt>
                <c:pt idx="122">
                  <c:v>0.73241999999999996</c:v>
                </c:pt>
                <c:pt idx="123">
                  <c:v>0.7117</c:v>
                </c:pt>
                <c:pt idx="124">
                  <c:v>0.69677999999999995</c:v>
                </c:pt>
                <c:pt idx="125">
                  <c:v>0.68857000000000002</c:v>
                </c:pt>
                <c:pt idx="126">
                  <c:v>0.68652999999999997</c:v>
                </c:pt>
                <c:pt idx="127">
                  <c:v>0.68967000000000001</c:v>
                </c:pt>
                <c:pt idx="128">
                  <c:v>0.69928000000000001</c:v>
                </c:pt>
                <c:pt idx="129">
                  <c:v>0.71494999999999997</c:v>
                </c:pt>
                <c:pt idx="130">
                  <c:v>0.73563999999999996</c:v>
                </c:pt>
                <c:pt idx="131">
                  <c:v>0.75780000000000003</c:v>
                </c:pt>
                <c:pt idx="132">
                  <c:v>0.78030999999999995</c:v>
                </c:pt>
                <c:pt idx="133">
                  <c:v>0.80439000000000005</c:v>
                </c:pt>
                <c:pt idx="134">
                  <c:v>0.82694000000000001</c:v>
                </c:pt>
                <c:pt idx="135">
                  <c:v>0.84075999999999995</c:v>
                </c:pt>
                <c:pt idx="136">
                  <c:v>0.84323000000000004</c:v>
                </c:pt>
                <c:pt idx="137">
                  <c:v>0.83620000000000005</c:v>
                </c:pt>
                <c:pt idx="138">
                  <c:v>0.81969999999999998</c:v>
                </c:pt>
                <c:pt idx="139">
                  <c:v>0.79525000000000001</c:v>
                </c:pt>
                <c:pt idx="140">
                  <c:v>0.76676</c:v>
                </c:pt>
                <c:pt idx="141">
                  <c:v>0.73717999999999995</c:v>
                </c:pt>
                <c:pt idx="142">
                  <c:v>0.70748999999999995</c:v>
                </c:pt>
                <c:pt idx="143">
                  <c:v>0.67625000000000002</c:v>
                </c:pt>
                <c:pt idx="144">
                  <c:v>0.63912999999999998</c:v>
                </c:pt>
                <c:pt idx="145">
                  <c:v>0.59813000000000005</c:v>
                </c:pt>
                <c:pt idx="146">
                  <c:v>0.55145999999999995</c:v>
                </c:pt>
                <c:pt idx="147">
                  <c:v>0.49809999999999999</c:v>
                </c:pt>
                <c:pt idx="148">
                  <c:v>0.44180000000000003</c:v>
                </c:pt>
                <c:pt idx="149">
                  <c:v>0.38671</c:v>
                </c:pt>
                <c:pt idx="150">
                  <c:v>0.33442</c:v>
                </c:pt>
                <c:pt idx="151">
                  <c:v>0.28408</c:v>
                </c:pt>
                <c:pt idx="152">
                  <c:v>0.23793</c:v>
                </c:pt>
                <c:pt idx="153">
                  <c:v>0.19855</c:v>
                </c:pt>
                <c:pt idx="154">
                  <c:v>0.16586000000000001</c:v>
                </c:pt>
                <c:pt idx="155">
                  <c:v>0.13769000000000001</c:v>
                </c:pt>
                <c:pt idx="156">
                  <c:v>0.11219999999999999</c:v>
                </c:pt>
                <c:pt idx="157">
                  <c:v>9.0219999999999995E-2</c:v>
                </c:pt>
                <c:pt idx="158">
                  <c:v>7.2239999999999999E-2</c:v>
                </c:pt>
                <c:pt idx="159">
                  <c:v>5.7630000000000001E-2</c:v>
                </c:pt>
                <c:pt idx="160">
                  <c:v>4.5999999999999999E-2</c:v>
                </c:pt>
                <c:pt idx="161">
                  <c:v>3.6380000000000003E-2</c:v>
                </c:pt>
                <c:pt idx="162">
                  <c:v>2.862E-2</c:v>
                </c:pt>
                <c:pt idx="163">
                  <c:v>2.3099999999999999E-2</c:v>
                </c:pt>
                <c:pt idx="164">
                  <c:v>1.916E-2</c:v>
                </c:pt>
                <c:pt idx="165">
                  <c:v>1.5890000000000001E-2</c:v>
                </c:pt>
                <c:pt idx="166">
                  <c:v>1.3639999999999999E-2</c:v>
                </c:pt>
                <c:pt idx="167">
                  <c:v>1.196E-2</c:v>
                </c:pt>
                <c:pt idx="168">
                  <c:v>1.031E-2</c:v>
                </c:pt>
                <c:pt idx="169">
                  <c:v>8.8100000000000001E-3</c:v>
                </c:pt>
                <c:pt idx="170">
                  <c:v>7.0299999999999998E-3</c:v>
                </c:pt>
                <c:pt idx="171">
                  <c:v>5.7299999999999999E-3</c:v>
                </c:pt>
                <c:pt idx="172">
                  <c:v>5.4299999999999999E-3</c:v>
                </c:pt>
                <c:pt idx="173">
                  <c:v>4.7099999999999998E-3</c:v>
                </c:pt>
                <c:pt idx="174">
                  <c:v>4.0699999999999998E-3</c:v>
                </c:pt>
                <c:pt idx="175">
                  <c:v>4.0400000000000002E-3</c:v>
                </c:pt>
                <c:pt idx="176">
                  <c:v>3.8500000000000001E-3</c:v>
                </c:pt>
                <c:pt idx="177">
                  <c:v>3.62E-3</c:v>
                </c:pt>
                <c:pt idx="178">
                  <c:v>3.7100000000000002E-3</c:v>
                </c:pt>
                <c:pt idx="179">
                  <c:v>3.6900000000000001E-3</c:v>
                </c:pt>
                <c:pt idx="180">
                  <c:v>2.4499999999999999E-3</c:v>
                </c:pt>
                <c:pt idx="181">
                  <c:v>2E-3</c:v>
                </c:pt>
                <c:pt idx="182">
                  <c:v>1.8699999999999999E-3</c:v>
                </c:pt>
                <c:pt idx="183">
                  <c:v>1.5399999999999999E-3</c:v>
                </c:pt>
                <c:pt idx="184">
                  <c:v>1.4300000000000001E-3</c:v>
                </c:pt>
                <c:pt idx="185">
                  <c:v>1.4599999999999999E-3</c:v>
                </c:pt>
                <c:pt idx="186">
                  <c:v>1.3699999999999999E-3</c:v>
                </c:pt>
                <c:pt idx="187">
                  <c:v>1.39E-3</c:v>
                </c:pt>
                <c:pt idx="188">
                  <c:v>1.1299999999999999E-3</c:v>
                </c:pt>
                <c:pt idx="189">
                  <c:v>8.8000000000000003E-4</c:v>
                </c:pt>
                <c:pt idx="190">
                  <c:v>7.5000000000000002E-4</c:v>
                </c:pt>
                <c:pt idx="191">
                  <c:v>6.6E-4</c:v>
                </c:pt>
                <c:pt idx="192">
                  <c:v>4.2000000000000002E-4</c:v>
                </c:pt>
                <c:pt idx="193">
                  <c:v>2.1000000000000001E-4</c:v>
                </c:pt>
                <c:pt idx="194">
                  <c:v>2.0000000000000001E-4</c:v>
                </c:pt>
                <c:pt idx="195">
                  <c:v>6.0000000000000002E-5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4.8000000000000001E-4</c:v>
                </c:pt>
                <c:pt idx="200">
                  <c:v>5.9000000000000003E-4</c:v>
                </c:pt>
                <c:pt idx="201">
                  <c:v>4.0999999999999999E-4</c:v>
                </c:pt>
                <c:pt idx="202">
                  <c:v>3.5E-4</c:v>
                </c:pt>
                <c:pt idx="203">
                  <c:v>1.7000000000000001E-4</c:v>
                </c:pt>
                <c:pt idx="204">
                  <c:v>9.0000000000000006E-5</c:v>
                </c:pt>
                <c:pt idx="205">
                  <c:v>9.0000000000000006E-5</c:v>
                </c:pt>
                <c:pt idx="206">
                  <c:v>2.9E-4</c:v>
                </c:pt>
                <c:pt idx="207">
                  <c:v>4.2999999999999999E-4</c:v>
                </c:pt>
                <c:pt idx="208">
                  <c:v>3.6999999999999999E-4</c:v>
                </c:pt>
                <c:pt idx="209">
                  <c:v>4.0999999999999999E-4</c:v>
                </c:pt>
                <c:pt idx="210">
                  <c:v>4.8999999999999998E-4</c:v>
                </c:pt>
                <c:pt idx="211">
                  <c:v>2.3000000000000001E-4</c:v>
                </c:pt>
                <c:pt idx="212">
                  <c:v>0</c:v>
                </c:pt>
                <c:pt idx="213">
                  <c:v>6.9999999999999994E-5</c:v>
                </c:pt>
                <c:pt idx="214">
                  <c:v>1.0000000000000001E-5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1.1E-4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1.6000000000000001E-4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5.5999999999999995E-4</c:v>
                </c:pt>
                <c:pt idx="238">
                  <c:v>4.2000000000000002E-4</c:v>
                </c:pt>
                <c:pt idx="239">
                  <c:v>5.0000000000000002E-5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3.0000000000000001E-5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5.0000000000000002E-5</c:v>
                </c:pt>
                <c:pt idx="284">
                  <c:v>2.2000000000000001E-4</c:v>
                </c:pt>
                <c:pt idx="285">
                  <c:v>8.0000000000000007E-5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3.0000000000000001E-5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8.0000000000000007E-5</c:v>
                </c:pt>
                <c:pt idx="339">
                  <c:v>1.2E-4</c:v>
                </c:pt>
                <c:pt idx="340">
                  <c:v>2.0000000000000002E-5</c:v>
                </c:pt>
                <c:pt idx="341">
                  <c:v>1.0000000000000001E-5</c:v>
                </c:pt>
                <c:pt idx="342">
                  <c:v>1.8000000000000001E-4</c:v>
                </c:pt>
                <c:pt idx="343">
                  <c:v>2.0000000000000001E-4</c:v>
                </c:pt>
                <c:pt idx="344">
                  <c:v>3.0000000000000001E-5</c:v>
                </c:pt>
                <c:pt idx="345">
                  <c:v>1.2999999999999999E-4</c:v>
                </c:pt>
                <c:pt idx="346">
                  <c:v>9.0000000000000006E-5</c:v>
                </c:pt>
                <c:pt idx="347">
                  <c:v>0</c:v>
                </c:pt>
                <c:pt idx="348">
                  <c:v>1.4999999999999999E-4</c:v>
                </c:pt>
                <c:pt idx="349">
                  <c:v>1.7000000000000001E-4</c:v>
                </c:pt>
                <c:pt idx="350">
                  <c:v>2.1000000000000001E-4</c:v>
                </c:pt>
                <c:pt idx="351">
                  <c:v>1.8000000000000001E-4</c:v>
                </c:pt>
                <c:pt idx="352">
                  <c:v>9.0000000000000006E-5</c:v>
                </c:pt>
                <c:pt idx="353">
                  <c:v>1.6000000000000001E-4</c:v>
                </c:pt>
                <c:pt idx="354">
                  <c:v>6.0000000000000002E-5</c:v>
                </c:pt>
                <c:pt idx="355">
                  <c:v>3.0000000000000001E-5</c:v>
                </c:pt>
                <c:pt idx="356">
                  <c:v>1.4999999999999999E-4</c:v>
                </c:pt>
                <c:pt idx="357">
                  <c:v>9.0000000000000006E-5</c:v>
                </c:pt>
                <c:pt idx="358">
                  <c:v>1E-4</c:v>
                </c:pt>
                <c:pt idx="359">
                  <c:v>1E-4</c:v>
                </c:pt>
                <c:pt idx="360">
                  <c:v>1.2999999999999999E-4</c:v>
                </c:pt>
                <c:pt idx="361">
                  <c:v>1.7000000000000001E-4</c:v>
                </c:pt>
                <c:pt idx="362">
                  <c:v>1.6000000000000001E-4</c:v>
                </c:pt>
                <c:pt idx="363">
                  <c:v>1.2E-4</c:v>
                </c:pt>
                <c:pt idx="364">
                  <c:v>3.0000000000000001E-5</c:v>
                </c:pt>
                <c:pt idx="365">
                  <c:v>0</c:v>
                </c:pt>
                <c:pt idx="366">
                  <c:v>1.0000000000000001E-5</c:v>
                </c:pt>
                <c:pt idx="367">
                  <c:v>2.0000000000000002E-5</c:v>
                </c:pt>
                <c:pt idx="368">
                  <c:v>2.1000000000000001E-4</c:v>
                </c:pt>
                <c:pt idx="369">
                  <c:v>3.5E-4</c:v>
                </c:pt>
                <c:pt idx="370">
                  <c:v>2.9999999999999997E-4</c:v>
                </c:pt>
                <c:pt idx="371">
                  <c:v>2.5000000000000001E-4</c:v>
                </c:pt>
                <c:pt idx="372">
                  <c:v>2.2000000000000001E-4</c:v>
                </c:pt>
                <c:pt idx="373">
                  <c:v>1.4999999999999999E-4</c:v>
                </c:pt>
                <c:pt idx="374">
                  <c:v>2.0000000000000001E-4</c:v>
                </c:pt>
                <c:pt idx="375">
                  <c:v>3.6999999999999999E-4</c:v>
                </c:pt>
                <c:pt idx="376">
                  <c:v>4.0000000000000002E-4</c:v>
                </c:pt>
                <c:pt idx="377">
                  <c:v>6.0999999999999997E-4</c:v>
                </c:pt>
                <c:pt idx="378">
                  <c:v>8.4000000000000003E-4</c:v>
                </c:pt>
                <c:pt idx="379">
                  <c:v>1.23E-3</c:v>
                </c:pt>
                <c:pt idx="380">
                  <c:v>1.97E-3</c:v>
                </c:pt>
                <c:pt idx="381">
                  <c:v>3.46E-3</c:v>
                </c:pt>
                <c:pt idx="382">
                  <c:v>5.7099999999999998E-3</c:v>
                </c:pt>
                <c:pt idx="383">
                  <c:v>7.5199999999999998E-3</c:v>
                </c:pt>
                <c:pt idx="384">
                  <c:v>8.6700000000000006E-3</c:v>
                </c:pt>
                <c:pt idx="385">
                  <c:v>9.0799999999999995E-3</c:v>
                </c:pt>
                <c:pt idx="386">
                  <c:v>8.6300000000000005E-3</c:v>
                </c:pt>
                <c:pt idx="387">
                  <c:v>8.3099999999999997E-3</c:v>
                </c:pt>
                <c:pt idx="388">
                  <c:v>8.4200000000000004E-3</c:v>
                </c:pt>
                <c:pt idx="389">
                  <c:v>8.4100000000000008E-3</c:v>
                </c:pt>
                <c:pt idx="390">
                  <c:v>8.5500000000000003E-3</c:v>
                </c:pt>
                <c:pt idx="391">
                  <c:v>9.1500000000000001E-3</c:v>
                </c:pt>
                <c:pt idx="392">
                  <c:v>9.8200000000000006E-3</c:v>
                </c:pt>
                <c:pt idx="393">
                  <c:v>1.042E-2</c:v>
                </c:pt>
                <c:pt idx="394">
                  <c:v>1.123E-2</c:v>
                </c:pt>
                <c:pt idx="395">
                  <c:v>1.1809999999999999E-2</c:v>
                </c:pt>
                <c:pt idx="396">
                  <c:v>1.225E-2</c:v>
                </c:pt>
                <c:pt idx="397">
                  <c:v>1.2239999999999999E-2</c:v>
                </c:pt>
                <c:pt idx="398">
                  <c:v>1.123E-2</c:v>
                </c:pt>
                <c:pt idx="399">
                  <c:v>9.6399999999999993E-3</c:v>
                </c:pt>
                <c:pt idx="400">
                  <c:v>7.9100000000000004E-3</c:v>
                </c:pt>
                <c:pt idx="401">
                  <c:v>6.4599999999999996E-3</c:v>
                </c:pt>
                <c:pt idx="402">
                  <c:v>5.5399999999999998E-3</c:v>
                </c:pt>
                <c:pt idx="403">
                  <c:v>4.9399999999999999E-3</c:v>
                </c:pt>
                <c:pt idx="404">
                  <c:v>4.4400000000000004E-3</c:v>
                </c:pt>
                <c:pt idx="405">
                  <c:v>4.2599999999999999E-3</c:v>
                </c:pt>
                <c:pt idx="406">
                  <c:v>4.4000000000000003E-3</c:v>
                </c:pt>
                <c:pt idx="407">
                  <c:v>4.4400000000000004E-3</c:v>
                </c:pt>
                <c:pt idx="408">
                  <c:v>4.13E-3</c:v>
                </c:pt>
                <c:pt idx="409">
                  <c:v>3.6700000000000001E-3</c:v>
                </c:pt>
                <c:pt idx="410">
                  <c:v>3.3400000000000001E-3</c:v>
                </c:pt>
                <c:pt idx="411">
                  <c:v>2.96E-3</c:v>
                </c:pt>
                <c:pt idx="412">
                  <c:v>2.6800000000000001E-3</c:v>
                </c:pt>
                <c:pt idx="413">
                  <c:v>2.6800000000000001E-3</c:v>
                </c:pt>
                <c:pt idx="414">
                  <c:v>2.6199999999999999E-3</c:v>
                </c:pt>
                <c:pt idx="415">
                  <c:v>2.3700000000000001E-3</c:v>
                </c:pt>
                <c:pt idx="416">
                  <c:v>2.1700000000000001E-3</c:v>
                </c:pt>
                <c:pt idx="417">
                  <c:v>2E-3</c:v>
                </c:pt>
                <c:pt idx="418">
                  <c:v>1.7799999999999999E-3</c:v>
                </c:pt>
                <c:pt idx="419">
                  <c:v>1.6999999999999999E-3</c:v>
                </c:pt>
                <c:pt idx="420">
                  <c:v>1.5200000000000001E-3</c:v>
                </c:pt>
                <c:pt idx="421">
                  <c:v>1.2899999999999999E-3</c:v>
                </c:pt>
                <c:pt idx="422">
                  <c:v>1.2099999999999999E-3</c:v>
                </c:pt>
                <c:pt idx="423">
                  <c:v>1.1800000000000001E-3</c:v>
                </c:pt>
                <c:pt idx="424">
                  <c:v>9.8999999999999999E-4</c:v>
                </c:pt>
                <c:pt idx="425">
                  <c:v>8.3000000000000001E-4</c:v>
                </c:pt>
                <c:pt idx="426">
                  <c:v>8.3000000000000001E-4</c:v>
                </c:pt>
                <c:pt idx="427">
                  <c:v>8.3000000000000001E-4</c:v>
                </c:pt>
                <c:pt idx="428">
                  <c:v>6.8999999999999997E-4</c:v>
                </c:pt>
                <c:pt idx="429">
                  <c:v>6.4999999999999997E-4</c:v>
                </c:pt>
                <c:pt idx="430">
                  <c:v>6.6E-4</c:v>
                </c:pt>
                <c:pt idx="431">
                  <c:v>6.3000000000000003E-4</c:v>
                </c:pt>
                <c:pt idx="432">
                  <c:v>6.6E-4</c:v>
                </c:pt>
                <c:pt idx="433">
                  <c:v>6.0999999999999997E-4</c:v>
                </c:pt>
                <c:pt idx="434">
                  <c:v>7.6999999999999996E-4</c:v>
                </c:pt>
                <c:pt idx="435">
                  <c:v>8.1999999999999998E-4</c:v>
                </c:pt>
                <c:pt idx="436">
                  <c:v>6.3000000000000003E-4</c:v>
                </c:pt>
                <c:pt idx="437">
                  <c:v>5.4000000000000001E-4</c:v>
                </c:pt>
                <c:pt idx="438">
                  <c:v>5.9999999999999995E-4</c:v>
                </c:pt>
                <c:pt idx="439">
                  <c:v>7.1000000000000002E-4</c:v>
                </c:pt>
                <c:pt idx="440">
                  <c:v>7.1000000000000002E-4</c:v>
                </c:pt>
                <c:pt idx="441">
                  <c:v>6.6E-4</c:v>
                </c:pt>
                <c:pt idx="442">
                  <c:v>5.2999999999999998E-4</c:v>
                </c:pt>
                <c:pt idx="443">
                  <c:v>5.9000000000000003E-4</c:v>
                </c:pt>
                <c:pt idx="444">
                  <c:v>7.9000000000000001E-4</c:v>
                </c:pt>
                <c:pt idx="445">
                  <c:v>8.4000000000000003E-4</c:v>
                </c:pt>
                <c:pt idx="446">
                  <c:v>8.3000000000000001E-4</c:v>
                </c:pt>
                <c:pt idx="447">
                  <c:v>7.3999999999999999E-4</c:v>
                </c:pt>
                <c:pt idx="448">
                  <c:v>7.5000000000000002E-4</c:v>
                </c:pt>
                <c:pt idx="449">
                  <c:v>8.1999999999999998E-4</c:v>
                </c:pt>
                <c:pt idx="450">
                  <c:v>7.1000000000000002E-4</c:v>
                </c:pt>
                <c:pt idx="451">
                  <c:v>8.0000000000000004E-4</c:v>
                </c:pt>
                <c:pt idx="452">
                  <c:v>9.1E-4</c:v>
                </c:pt>
                <c:pt idx="453">
                  <c:v>9.3000000000000005E-4</c:v>
                </c:pt>
                <c:pt idx="454">
                  <c:v>1.1100000000000001E-3</c:v>
                </c:pt>
                <c:pt idx="455">
                  <c:v>1.31E-3</c:v>
                </c:pt>
                <c:pt idx="456">
                  <c:v>1.56E-3</c:v>
                </c:pt>
                <c:pt idx="457">
                  <c:v>2.0699999999999998E-3</c:v>
                </c:pt>
                <c:pt idx="458">
                  <c:v>2.9299999999999999E-3</c:v>
                </c:pt>
                <c:pt idx="459">
                  <c:v>2.0899999999999998E-3</c:v>
                </c:pt>
                <c:pt idx="460">
                  <c:v>1.14E-3</c:v>
                </c:pt>
                <c:pt idx="461">
                  <c:v>7.9000000000000001E-4</c:v>
                </c:pt>
                <c:pt idx="462">
                  <c:v>6.4000000000000005E-4</c:v>
                </c:pt>
                <c:pt idx="463">
                  <c:v>6.4999999999999997E-4</c:v>
                </c:pt>
                <c:pt idx="464">
                  <c:v>6.0999999999999997E-4</c:v>
                </c:pt>
                <c:pt idx="465">
                  <c:v>5.2999999999999998E-4</c:v>
                </c:pt>
                <c:pt idx="466">
                  <c:v>5.4000000000000001E-4</c:v>
                </c:pt>
                <c:pt idx="467">
                  <c:v>5.4000000000000001E-4</c:v>
                </c:pt>
                <c:pt idx="468">
                  <c:v>3.8999999999999999E-4</c:v>
                </c:pt>
                <c:pt idx="469">
                  <c:v>4.2999999999999999E-4</c:v>
                </c:pt>
                <c:pt idx="470">
                  <c:v>5.9999999999999995E-4</c:v>
                </c:pt>
                <c:pt idx="471">
                  <c:v>6.8999999999999997E-4</c:v>
                </c:pt>
                <c:pt idx="472">
                  <c:v>6.3000000000000003E-4</c:v>
                </c:pt>
                <c:pt idx="473">
                  <c:v>4.6999999999999999E-4</c:v>
                </c:pt>
                <c:pt idx="474">
                  <c:v>5.9000000000000003E-4</c:v>
                </c:pt>
                <c:pt idx="475">
                  <c:v>6.8999999999999997E-4</c:v>
                </c:pt>
                <c:pt idx="476">
                  <c:v>6.6E-4</c:v>
                </c:pt>
                <c:pt idx="477">
                  <c:v>6.8000000000000005E-4</c:v>
                </c:pt>
                <c:pt idx="478">
                  <c:v>5.4000000000000001E-4</c:v>
                </c:pt>
                <c:pt idx="479">
                  <c:v>5.6999999999999998E-4</c:v>
                </c:pt>
                <c:pt idx="480">
                  <c:v>6.4000000000000005E-4</c:v>
                </c:pt>
                <c:pt idx="481">
                  <c:v>6.2E-4</c:v>
                </c:pt>
                <c:pt idx="482">
                  <c:v>6.9999999999999999E-4</c:v>
                </c:pt>
                <c:pt idx="483">
                  <c:v>8.4999999999999995E-4</c:v>
                </c:pt>
                <c:pt idx="484">
                  <c:v>1.1299999999999999E-3</c:v>
                </c:pt>
                <c:pt idx="485">
                  <c:v>9.6000000000000002E-4</c:v>
                </c:pt>
                <c:pt idx="486">
                  <c:v>8.8000000000000003E-4</c:v>
                </c:pt>
                <c:pt idx="487">
                  <c:v>9.6000000000000002E-4</c:v>
                </c:pt>
                <c:pt idx="488">
                  <c:v>8.3000000000000001E-4</c:v>
                </c:pt>
                <c:pt idx="489">
                  <c:v>7.3999999999999999E-4</c:v>
                </c:pt>
                <c:pt idx="490">
                  <c:v>7.3999999999999999E-4</c:v>
                </c:pt>
                <c:pt idx="491">
                  <c:v>9.5E-4</c:v>
                </c:pt>
                <c:pt idx="492">
                  <c:v>9.5E-4</c:v>
                </c:pt>
                <c:pt idx="493">
                  <c:v>9.6000000000000002E-4</c:v>
                </c:pt>
                <c:pt idx="494">
                  <c:v>9.7000000000000005E-4</c:v>
                </c:pt>
                <c:pt idx="495">
                  <c:v>8.7000000000000001E-4</c:v>
                </c:pt>
                <c:pt idx="496">
                  <c:v>8.9999999999999998E-4</c:v>
                </c:pt>
                <c:pt idx="497">
                  <c:v>9.7999999999999997E-4</c:v>
                </c:pt>
                <c:pt idx="498">
                  <c:v>1.16E-3</c:v>
                </c:pt>
                <c:pt idx="499">
                  <c:v>1.17E-3</c:v>
                </c:pt>
                <c:pt idx="500">
                  <c:v>1.0300000000000001E-3</c:v>
                </c:pt>
                <c:pt idx="501">
                  <c:v>9.8999999999999999E-4</c:v>
                </c:pt>
                <c:pt idx="502">
                  <c:v>8.0000000000000004E-4</c:v>
                </c:pt>
                <c:pt idx="503">
                  <c:v>5.1999999999999995E-4</c:v>
                </c:pt>
                <c:pt idx="504">
                  <c:v>5.2999999999999998E-4</c:v>
                </c:pt>
                <c:pt idx="505">
                  <c:v>4.6000000000000001E-4</c:v>
                </c:pt>
                <c:pt idx="506">
                  <c:v>3.4000000000000002E-4</c:v>
                </c:pt>
                <c:pt idx="507">
                  <c:v>3.8000000000000002E-4</c:v>
                </c:pt>
                <c:pt idx="508">
                  <c:v>3.6999999999999999E-4</c:v>
                </c:pt>
                <c:pt idx="509">
                  <c:v>3.8999999999999999E-4</c:v>
                </c:pt>
                <c:pt idx="510">
                  <c:v>3.4000000000000002E-4</c:v>
                </c:pt>
                <c:pt idx="511">
                  <c:v>1.7000000000000001E-4</c:v>
                </c:pt>
                <c:pt idx="512">
                  <c:v>1.2E-4</c:v>
                </c:pt>
                <c:pt idx="513">
                  <c:v>2.1000000000000001E-4</c:v>
                </c:pt>
                <c:pt idx="514">
                  <c:v>2.2000000000000001E-4</c:v>
                </c:pt>
                <c:pt idx="515">
                  <c:v>1.2999999999999999E-4</c:v>
                </c:pt>
                <c:pt idx="516">
                  <c:v>1.1E-4</c:v>
                </c:pt>
                <c:pt idx="517">
                  <c:v>2.5999999999999998E-4</c:v>
                </c:pt>
                <c:pt idx="518">
                  <c:v>2.9E-4</c:v>
                </c:pt>
                <c:pt idx="519">
                  <c:v>1.2E-4</c:v>
                </c:pt>
                <c:pt idx="520">
                  <c:v>2.1000000000000001E-4</c:v>
                </c:pt>
                <c:pt idx="521">
                  <c:v>3.1E-4</c:v>
                </c:pt>
                <c:pt idx="522">
                  <c:v>3.5E-4</c:v>
                </c:pt>
                <c:pt idx="523">
                  <c:v>3.8000000000000002E-4</c:v>
                </c:pt>
                <c:pt idx="524">
                  <c:v>3.2000000000000003E-4</c:v>
                </c:pt>
                <c:pt idx="525">
                  <c:v>8.0000000000000007E-5</c:v>
                </c:pt>
                <c:pt idx="526">
                  <c:v>0</c:v>
                </c:pt>
                <c:pt idx="527">
                  <c:v>9.0000000000000006E-5</c:v>
                </c:pt>
                <c:pt idx="528">
                  <c:v>2.0000000000000002E-5</c:v>
                </c:pt>
                <c:pt idx="529">
                  <c:v>3.0000000000000001E-5</c:v>
                </c:pt>
                <c:pt idx="530">
                  <c:v>2.2000000000000001E-4</c:v>
                </c:pt>
                <c:pt idx="531">
                  <c:v>2.1000000000000001E-4</c:v>
                </c:pt>
                <c:pt idx="532">
                  <c:v>1.4999999999999999E-4</c:v>
                </c:pt>
                <c:pt idx="533">
                  <c:v>2.5000000000000001E-4</c:v>
                </c:pt>
                <c:pt idx="534">
                  <c:v>9.0000000000000006E-5</c:v>
                </c:pt>
                <c:pt idx="535">
                  <c:v>8.0000000000000007E-5</c:v>
                </c:pt>
                <c:pt idx="536">
                  <c:v>5.0000000000000002E-5</c:v>
                </c:pt>
                <c:pt idx="537">
                  <c:v>1.0000000000000001E-5</c:v>
                </c:pt>
                <c:pt idx="538">
                  <c:v>0</c:v>
                </c:pt>
                <c:pt idx="539">
                  <c:v>2.0000000000000002E-5</c:v>
                </c:pt>
                <c:pt idx="540">
                  <c:v>4.6999999999999999E-4</c:v>
                </c:pt>
                <c:pt idx="541">
                  <c:v>4.8999999999999998E-4</c:v>
                </c:pt>
                <c:pt idx="542">
                  <c:v>5.9000000000000003E-4</c:v>
                </c:pt>
                <c:pt idx="543">
                  <c:v>4.8999999999999998E-4</c:v>
                </c:pt>
                <c:pt idx="544">
                  <c:v>3.1E-4</c:v>
                </c:pt>
                <c:pt idx="545">
                  <c:v>1.6000000000000001E-4</c:v>
                </c:pt>
                <c:pt idx="546">
                  <c:v>0</c:v>
                </c:pt>
                <c:pt idx="547">
                  <c:v>2.5000000000000001E-4</c:v>
                </c:pt>
                <c:pt idx="548">
                  <c:v>5.2999999999999998E-4</c:v>
                </c:pt>
                <c:pt idx="549">
                  <c:v>2.5999999999999998E-4</c:v>
                </c:pt>
                <c:pt idx="550">
                  <c:v>4.0000000000000003E-5</c:v>
                </c:pt>
                <c:pt idx="551">
                  <c:v>1.2999999999999999E-4</c:v>
                </c:pt>
                <c:pt idx="552">
                  <c:v>2.9E-4</c:v>
                </c:pt>
                <c:pt idx="553">
                  <c:v>5.5999999999999995E-4</c:v>
                </c:pt>
                <c:pt idx="554">
                  <c:v>6.4000000000000005E-4</c:v>
                </c:pt>
                <c:pt idx="555">
                  <c:v>2.5000000000000001E-4</c:v>
                </c:pt>
                <c:pt idx="556">
                  <c:v>3.2000000000000003E-4</c:v>
                </c:pt>
                <c:pt idx="557">
                  <c:v>3.5E-4</c:v>
                </c:pt>
                <c:pt idx="558">
                  <c:v>2.7E-4</c:v>
                </c:pt>
                <c:pt idx="559">
                  <c:v>4.0999999999999999E-4</c:v>
                </c:pt>
                <c:pt idx="560">
                  <c:v>0</c:v>
                </c:pt>
                <c:pt idx="561">
                  <c:v>0</c:v>
                </c:pt>
                <c:pt idx="562">
                  <c:v>2.2000000000000001E-4</c:v>
                </c:pt>
                <c:pt idx="563">
                  <c:v>4.6000000000000001E-4</c:v>
                </c:pt>
                <c:pt idx="564">
                  <c:v>6.8000000000000005E-4</c:v>
                </c:pt>
                <c:pt idx="565">
                  <c:v>3.3E-4</c:v>
                </c:pt>
                <c:pt idx="566">
                  <c:v>3.6000000000000002E-4</c:v>
                </c:pt>
                <c:pt idx="567">
                  <c:v>2.1000000000000001E-4</c:v>
                </c:pt>
                <c:pt idx="568">
                  <c:v>0</c:v>
                </c:pt>
                <c:pt idx="569">
                  <c:v>1.6000000000000001E-4</c:v>
                </c:pt>
                <c:pt idx="570">
                  <c:v>6.3000000000000003E-4</c:v>
                </c:pt>
                <c:pt idx="571">
                  <c:v>3.2000000000000003E-4</c:v>
                </c:pt>
                <c:pt idx="572">
                  <c:v>6.0000000000000002E-5</c:v>
                </c:pt>
                <c:pt idx="573">
                  <c:v>1.6000000000000001E-4</c:v>
                </c:pt>
                <c:pt idx="574">
                  <c:v>4.4000000000000002E-4</c:v>
                </c:pt>
                <c:pt idx="575">
                  <c:v>6.3000000000000003E-4</c:v>
                </c:pt>
                <c:pt idx="576">
                  <c:v>4.6000000000000001E-4</c:v>
                </c:pt>
                <c:pt idx="577">
                  <c:v>4.2999999999999999E-4</c:v>
                </c:pt>
                <c:pt idx="578">
                  <c:v>1.9000000000000001E-4</c:v>
                </c:pt>
                <c:pt idx="579">
                  <c:v>2.9E-4</c:v>
                </c:pt>
                <c:pt idx="580">
                  <c:v>3.8000000000000002E-4</c:v>
                </c:pt>
                <c:pt idx="581">
                  <c:v>2.7E-4</c:v>
                </c:pt>
                <c:pt idx="582">
                  <c:v>4.2000000000000002E-4</c:v>
                </c:pt>
                <c:pt idx="583">
                  <c:v>4.4999999999999999E-4</c:v>
                </c:pt>
                <c:pt idx="584">
                  <c:v>4.2000000000000002E-4</c:v>
                </c:pt>
                <c:pt idx="585">
                  <c:v>2.7E-4</c:v>
                </c:pt>
                <c:pt idx="586">
                  <c:v>0</c:v>
                </c:pt>
                <c:pt idx="587">
                  <c:v>4.0000000000000002E-4</c:v>
                </c:pt>
                <c:pt idx="588">
                  <c:v>1.1800000000000001E-3</c:v>
                </c:pt>
                <c:pt idx="589">
                  <c:v>1.1100000000000001E-3</c:v>
                </c:pt>
                <c:pt idx="590">
                  <c:v>4.6000000000000001E-4</c:v>
                </c:pt>
                <c:pt idx="591">
                  <c:v>0</c:v>
                </c:pt>
                <c:pt idx="592">
                  <c:v>0</c:v>
                </c:pt>
                <c:pt idx="593">
                  <c:v>1.3999999999999999E-4</c:v>
                </c:pt>
                <c:pt idx="594">
                  <c:v>1.2999999999999999E-4</c:v>
                </c:pt>
                <c:pt idx="595">
                  <c:v>0</c:v>
                </c:pt>
                <c:pt idx="596">
                  <c:v>0</c:v>
                </c:pt>
                <c:pt idx="597">
                  <c:v>1.3999999999999999E-4</c:v>
                </c:pt>
                <c:pt idx="598">
                  <c:v>5.2999999999999998E-4</c:v>
                </c:pt>
                <c:pt idx="599">
                  <c:v>5.5000000000000003E-4</c:v>
                </c:pt>
                <c:pt idx="600">
                  <c:v>3.5E-4</c:v>
                </c:pt>
                <c:pt idx="601">
                  <c:v>7.6000000000000004E-4</c:v>
                </c:pt>
                <c:pt idx="602">
                  <c:v>7.9000000000000001E-4</c:v>
                </c:pt>
                <c:pt idx="603">
                  <c:v>6.0999999999999997E-4</c:v>
                </c:pt>
                <c:pt idx="604">
                  <c:v>4.6999999999999999E-4</c:v>
                </c:pt>
                <c:pt idx="605">
                  <c:v>1.8000000000000001E-4</c:v>
                </c:pt>
                <c:pt idx="606">
                  <c:v>2.7E-4</c:v>
                </c:pt>
                <c:pt idx="607">
                  <c:v>3.8000000000000002E-4</c:v>
                </c:pt>
                <c:pt idx="608">
                  <c:v>3.1E-4</c:v>
                </c:pt>
                <c:pt idx="609">
                  <c:v>1.1E-4</c:v>
                </c:pt>
                <c:pt idx="610">
                  <c:v>5.0000000000000001E-4</c:v>
                </c:pt>
                <c:pt idx="611">
                  <c:v>1.58E-3</c:v>
                </c:pt>
                <c:pt idx="612">
                  <c:v>1.1100000000000001E-3</c:v>
                </c:pt>
                <c:pt idx="613">
                  <c:v>1.2600000000000001E-3</c:v>
                </c:pt>
                <c:pt idx="614">
                  <c:v>3.5E-4</c:v>
                </c:pt>
                <c:pt idx="615">
                  <c:v>0</c:v>
                </c:pt>
                <c:pt idx="616">
                  <c:v>5.9000000000000003E-4</c:v>
                </c:pt>
                <c:pt idx="617">
                  <c:v>0</c:v>
                </c:pt>
                <c:pt idx="618">
                  <c:v>0</c:v>
                </c:pt>
                <c:pt idx="619">
                  <c:v>1.1800000000000001E-3</c:v>
                </c:pt>
                <c:pt idx="620">
                  <c:v>2.1299999999999999E-3</c:v>
                </c:pt>
                <c:pt idx="621">
                  <c:v>2.0999999999999999E-3</c:v>
                </c:pt>
                <c:pt idx="622">
                  <c:v>4.6999999999999999E-4</c:v>
                </c:pt>
                <c:pt idx="623">
                  <c:v>4.6999999999999999E-4</c:v>
                </c:pt>
                <c:pt idx="624">
                  <c:v>1.1000000000000001E-3</c:v>
                </c:pt>
                <c:pt idx="625">
                  <c:v>0</c:v>
                </c:pt>
                <c:pt idx="626">
                  <c:v>0</c:v>
                </c:pt>
                <c:pt idx="627">
                  <c:v>1.32E-3</c:v>
                </c:pt>
                <c:pt idx="628">
                  <c:v>1.64E-3</c:v>
                </c:pt>
                <c:pt idx="629">
                  <c:v>1.14E-3</c:v>
                </c:pt>
                <c:pt idx="630">
                  <c:v>9.7999999999999997E-4</c:v>
                </c:pt>
                <c:pt idx="631">
                  <c:v>1.1100000000000001E-3</c:v>
                </c:pt>
                <c:pt idx="632">
                  <c:v>1.2600000000000001E-3</c:v>
                </c:pt>
                <c:pt idx="633">
                  <c:v>5.4000000000000001E-4</c:v>
                </c:pt>
                <c:pt idx="634">
                  <c:v>0</c:v>
                </c:pt>
                <c:pt idx="635">
                  <c:v>5.2999999999999998E-4</c:v>
                </c:pt>
                <c:pt idx="636">
                  <c:v>1.3999999999999999E-4</c:v>
                </c:pt>
                <c:pt idx="637">
                  <c:v>0</c:v>
                </c:pt>
                <c:pt idx="638">
                  <c:v>0</c:v>
                </c:pt>
                <c:pt idx="639">
                  <c:v>3.6999999999999999E-4</c:v>
                </c:pt>
                <c:pt idx="640">
                  <c:v>1.1E-4</c:v>
                </c:pt>
                <c:pt idx="641">
                  <c:v>2.9E-4</c:v>
                </c:pt>
                <c:pt idx="642">
                  <c:v>7.9000000000000001E-4</c:v>
                </c:pt>
                <c:pt idx="643">
                  <c:v>1.1100000000000001E-3</c:v>
                </c:pt>
                <c:pt idx="644">
                  <c:v>7.6999999999999996E-4</c:v>
                </c:pt>
                <c:pt idx="645">
                  <c:v>6.7000000000000002E-4</c:v>
                </c:pt>
                <c:pt idx="646">
                  <c:v>0</c:v>
                </c:pt>
                <c:pt idx="647">
                  <c:v>0</c:v>
                </c:pt>
                <c:pt idx="648">
                  <c:v>8.0000000000000007E-5</c:v>
                </c:pt>
                <c:pt idx="649">
                  <c:v>0</c:v>
                </c:pt>
                <c:pt idx="650">
                  <c:v>5.0000000000000002E-5</c:v>
                </c:pt>
                <c:pt idx="651">
                  <c:v>0</c:v>
                </c:pt>
                <c:pt idx="652">
                  <c:v>0</c:v>
                </c:pt>
                <c:pt idx="653">
                  <c:v>1.07E-3</c:v>
                </c:pt>
                <c:pt idx="654">
                  <c:v>4.2000000000000002E-4</c:v>
                </c:pt>
                <c:pt idx="655">
                  <c:v>0</c:v>
                </c:pt>
                <c:pt idx="656">
                  <c:v>0</c:v>
                </c:pt>
                <c:pt idx="657">
                  <c:v>2.2000000000000001E-4</c:v>
                </c:pt>
                <c:pt idx="658">
                  <c:v>4.8000000000000001E-4</c:v>
                </c:pt>
                <c:pt idx="659">
                  <c:v>0</c:v>
                </c:pt>
                <c:pt idx="660">
                  <c:v>0</c:v>
                </c:pt>
                <c:pt idx="661">
                  <c:v>3.6999999999999999E-4</c:v>
                </c:pt>
                <c:pt idx="662">
                  <c:v>0</c:v>
                </c:pt>
                <c:pt idx="663">
                  <c:v>6.9999999999999999E-4</c:v>
                </c:pt>
                <c:pt idx="664">
                  <c:v>1.2099999999999999E-3</c:v>
                </c:pt>
                <c:pt idx="665">
                  <c:v>3.5E-4</c:v>
                </c:pt>
                <c:pt idx="666">
                  <c:v>4.6999999999999999E-4</c:v>
                </c:pt>
                <c:pt idx="667">
                  <c:v>3.8999999999999999E-4</c:v>
                </c:pt>
                <c:pt idx="668">
                  <c:v>2.2000000000000001E-4</c:v>
                </c:pt>
                <c:pt idx="669">
                  <c:v>8.4000000000000003E-4</c:v>
                </c:pt>
                <c:pt idx="670">
                  <c:v>1.0499999999999999E-3</c:v>
                </c:pt>
                <c:pt idx="671">
                  <c:v>1.07E-3</c:v>
                </c:pt>
                <c:pt idx="672">
                  <c:v>6.7000000000000002E-4</c:v>
                </c:pt>
                <c:pt idx="673">
                  <c:v>0</c:v>
                </c:pt>
                <c:pt idx="674">
                  <c:v>2.1000000000000001E-4</c:v>
                </c:pt>
                <c:pt idx="675">
                  <c:v>2.8600000000000001E-3</c:v>
                </c:pt>
              </c:numCache>
            </c:numRef>
          </c:yVal>
          <c:smooth val="1"/>
        </c:ser>
        <c:ser>
          <c:idx val="1"/>
          <c:order val="1"/>
          <c:tx>
            <c:v>K1889</c:v>
          </c:tx>
          <c:marker>
            <c:symbol val="none"/>
          </c:marker>
          <c:xVal>
            <c:numRef>
              <c:f>'K1889'!$A$3:$A$182</c:f>
              <c:numCache>
                <c:formatCode>General</c:formatCode>
                <c:ptCount val="180"/>
                <c:pt idx="0">
                  <c:v>60.441964495999997</c:v>
                </c:pt>
                <c:pt idx="1">
                  <c:v>61.953006113600004</c:v>
                </c:pt>
                <c:pt idx="2">
                  <c:v>63.464047731199997</c:v>
                </c:pt>
                <c:pt idx="3">
                  <c:v>64.975089348799997</c:v>
                </c:pt>
                <c:pt idx="4">
                  <c:v>66.486130966399998</c:v>
                </c:pt>
                <c:pt idx="5">
                  <c:v>67.997172583999998</c:v>
                </c:pt>
                <c:pt idx="6">
                  <c:v>69.508214201599998</c:v>
                </c:pt>
                <c:pt idx="7">
                  <c:v>71.019255819199998</c:v>
                </c:pt>
                <c:pt idx="8">
                  <c:v>72.530297436799998</c:v>
                </c:pt>
                <c:pt idx="9">
                  <c:v>74.041339054399998</c:v>
                </c:pt>
                <c:pt idx="10">
                  <c:v>75.552380671999984</c:v>
                </c:pt>
                <c:pt idx="11">
                  <c:v>77.063422289599998</c:v>
                </c:pt>
                <c:pt idx="12">
                  <c:v>78.574463907199998</c:v>
                </c:pt>
                <c:pt idx="13">
                  <c:v>80.085505524799999</c:v>
                </c:pt>
                <c:pt idx="14">
                  <c:v>81.596547142399999</c:v>
                </c:pt>
                <c:pt idx="15">
                  <c:v>83.107588759999985</c:v>
                </c:pt>
                <c:pt idx="16">
                  <c:v>84.618630377599999</c:v>
                </c:pt>
                <c:pt idx="17">
                  <c:v>86.129671995199999</c:v>
                </c:pt>
                <c:pt idx="18">
                  <c:v>87.640713612799999</c:v>
                </c:pt>
                <c:pt idx="19">
                  <c:v>89.151755230399999</c:v>
                </c:pt>
                <c:pt idx="20">
                  <c:v>90.662796847999999</c:v>
                </c:pt>
                <c:pt idx="21">
                  <c:v>92.173838465599999</c:v>
                </c:pt>
                <c:pt idx="22">
                  <c:v>93.684880083199999</c:v>
                </c:pt>
                <c:pt idx="23">
                  <c:v>95.1959217008</c:v>
                </c:pt>
                <c:pt idx="24">
                  <c:v>96.706963318399985</c:v>
                </c:pt>
                <c:pt idx="25">
                  <c:v>98.218004936</c:v>
                </c:pt>
                <c:pt idx="26">
                  <c:v>99.7290465536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110.30633787679999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117.86154596479999</c:v>
                </c:pt>
                <c:pt idx="39">
                  <c:v>119.3725875824</c:v>
                </c:pt>
                <c:pt idx="40">
                  <c:v>120.88362919999997</c:v>
                </c:pt>
                <c:pt idx="41">
                  <c:v>122.39467081760002</c:v>
                </c:pt>
                <c:pt idx="42">
                  <c:v>123.90571243519999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128.43883728799997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135.99404537599997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143.54925346399997</c:v>
                </c:pt>
                <c:pt idx="56">
                  <c:v>145.06029508160003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151.10446155199998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155.63758640479998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163.19279449279998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170.74800258079998</c:v>
                </c:pt>
                <c:pt idx="74">
                  <c:v>172.25904419840001</c:v>
                </c:pt>
                <c:pt idx="75">
                  <c:v>173.77008581600001</c:v>
                </c:pt>
                <c:pt idx="76">
                  <c:v>175.28112743360001</c:v>
                </c:pt>
                <c:pt idx="77">
                  <c:v>176.79216905120001</c:v>
                </c:pt>
                <c:pt idx="78">
                  <c:v>178.30321066879998</c:v>
                </c:pt>
                <c:pt idx="79">
                  <c:v>179.81425228640001</c:v>
                </c:pt>
                <c:pt idx="80">
                  <c:v>181.32529390400001</c:v>
                </c:pt>
                <c:pt idx="81">
                  <c:v>182.83633552159998</c:v>
                </c:pt>
                <c:pt idx="82">
                  <c:v>184.34737713920001</c:v>
                </c:pt>
                <c:pt idx="83">
                  <c:v>185.85841875679998</c:v>
                </c:pt>
                <c:pt idx="84">
                  <c:v>187.36946037440003</c:v>
                </c:pt>
                <c:pt idx="85">
                  <c:v>188.88050199200001</c:v>
                </c:pt>
                <c:pt idx="86">
                  <c:v>190.39154360959998</c:v>
                </c:pt>
                <c:pt idx="87">
                  <c:v>191.90258522720001</c:v>
                </c:pt>
                <c:pt idx="88">
                  <c:v>193.41362684480001</c:v>
                </c:pt>
                <c:pt idx="89">
                  <c:v>194.92466846240004</c:v>
                </c:pt>
                <c:pt idx="90">
                  <c:v>196.43571008000001</c:v>
                </c:pt>
                <c:pt idx="91">
                  <c:v>197.94675169759998</c:v>
                </c:pt>
                <c:pt idx="92">
                  <c:v>199.45779331520001</c:v>
                </c:pt>
                <c:pt idx="93">
                  <c:v>200.96883493280001</c:v>
                </c:pt>
                <c:pt idx="94">
                  <c:v>202.47987655039998</c:v>
                </c:pt>
                <c:pt idx="95">
                  <c:v>203.99091816800001</c:v>
                </c:pt>
                <c:pt idx="96">
                  <c:v>205.50195978559998</c:v>
                </c:pt>
                <c:pt idx="97">
                  <c:v>207.01300140320001</c:v>
                </c:pt>
                <c:pt idx="98">
                  <c:v>208.52404302080001</c:v>
                </c:pt>
                <c:pt idx="99">
                  <c:v>210.03508463839998</c:v>
                </c:pt>
                <c:pt idx="100">
                  <c:v>211.54612625600001</c:v>
                </c:pt>
                <c:pt idx="101">
                  <c:v>213.05716787359998</c:v>
                </c:pt>
                <c:pt idx="102">
                  <c:v>214.56820949120001</c:v>
                </c:pt>
                <c:pt idx="103">
                  <c:v>216.07925110880001</c:v>
                </c:pt>
                <c:pt idx="104">
                  <c:v>217.59029272639998</c:v>
                </c:pt>
                <c:pt idx="105">
                  <c:v>219.10133434400001</c:v>
                </c:pt>
                <c:pt idx="106">
                  <c:v>220.61237596159998</c:v>
                </c:pt>
                <c:pt idx="107">
                  <c:v>222.12341757920004</c:v>
                </c:pt>
                <c:pt idx="108">
                  <c:v>223.63445919680001</c:v>
                </c:pt>
                <c:pt idx="109">
                  <c:v>225.14550081439998</c:v>
                </c:pt>
                <c:pt idx="110">
                  <c:v>226.65654243200001</c:v>
                </c:pt>
                <c:pt idx="111">
                  <c:v>228.16758404960001</c:v>
                </c:pt>
                <c:pt idx="112">
                  <c:v>229.67862566720004</c:v>
                </c:pt>
                <c:pt idx="113">
                  <c:v>231.18966728480001</c:v>
                </c:pt>
                <c:pt idx="114">
                  <c:v>232.70070890239998</c:v>
                </c:pt>
                <c:pt idx="115">
                  <c:v>234.21175052000001</c:v>
                </c:pt>
                <c:pt idx="116">
                  <c:v>235.72279213760001</c:v>
                </c:pt>
                <c:pt idx="117">
                  <c:v>237.23383375519998</c:v>
                </c:pt>
                <c:pt idx="118">
                  <c:v>238.74487537280001</c:v>
                </c:pt>
                <c:pt idx="119">
                  <c:v>240.25591699039998</c:v>
                </c:pt>
                <c:pt idx="120">
                  <c:v>241.76695860800001</c:v>
                </c:pt>
                <c:pt idx="121">
                  <c:v>243.27800022560001</c:v>
                </c:pt>
                <c:pt idx="122">
                  <c:v>244.78904184319998</c:v>
                </c:pt>
                <c:pt idx="123">
                  <c:v>246.30008346080001</c:v>
                </c:pt>
                <c:pt idx="124">
                  <c:v>247.81112507839998</c:v>
                </c:pt>
                <c:pt idx="125">
                  <c:v>249.32216669600001</c:v>
                </c:pt>
                <c:pt idx="126">
                  <c:v>250.83320831360001</c:v>
                </c:pt>
                <c:pt idx="127">
                  <c:v>252.34424993119998</c:v>
                </c:pt>
                <c:pt idx="128">
                  <c:v>253.85529154880001</c:v>
                </c:pt>
                <c:pt idx="129">
                  <c:v>255.36633316639998</c:v>
                </c:pt>
                <c:pt idx="130">
                  <c:v>256.87737478400004</c:v>
                </c:pt>
                <c:pt idx="131">
                  <c:v>258.38841640160001</c:v>
                </c:pt>
                <c:pt idx="132">
                  <c:v>259.89945801919998</c:v>
                </c:pt>
                <c:pt idx="133">
                  <c:v>261.41049963680001</c:v>
                </c:pt>
                <c:pt idx="134">
                  <c:v>262.92154125439998</c:v>
                </c:pt>
                <c:pt idx="135">
                  <c:v>264.43258287199995</c:v>
                </c:pt>
                <c:pt idx="136">
                  <c:v>265.94362448959998</c:v>
                </c:pt>
                <c:pt idx="137">
                  <c:v>267.45466610720001</c:v>
                </c:pt>
                <c:pt idx="138">
                  <c:v>268.96570772480004</c:v>
                </c:pt>
                <c:pt idx="139">
                  <c:v>270.47674934240001</c:v>
                </c:pt>
                <c:pt idx="140">
                  <c:v>271.98779095999998</c:v>
                </c:pt>
                <c:pt idx="141">
                  <c:v>273.49883257760001</c:v>
                </c:pt>
                <c:pt idx="142">
                  <c:v>275.00987419519998</c:v>
                </c:pt>
                <c:pt idx="143">
                  <c:v>276.52091581280001</c:v>
                </c:pt>
                <c:pt idx="144">
                  <c:v>278.03195743039998</c:v>
                </c:pt>
                <c:pt idx="145">
                  <c:v>279.54299904799996</c:v>
                </c:pt>
                <c:pt idx="146">
                  <c:v>281.05404066560004</c:v>
                </c:pt>
                <c:pt idx="147">
                  <c:v>282.56508228320001</c:v>
                </c:pt>
                <c:pt idx="148">
                  <c:v>284.07612390080004</c:v>
                </c:pt>
                <c:pt idx="149">
                  <c:v>285.58716551840001</c:v>
                </c:pt>
                <c:pt idx="150">
                  <c:v>287.09820713599998</c:v>
                </c:pt>
                <c:pt idx="151">
                  <c:v>288.60924875360001</c:v>
                </c:pt>
                <c:pt idx="152">
                  <c:v>290.12029037119999</c:v>
                </c:pt>
                <c:pt idx="153">
                  <c:v>291.63133198880001</c:v>
                </c:pt>
                <c:pt idx="154">
                  <c:v>293.14237360639999</c:v>
                </c:pt>
                <c:pt idx="155">
                  <c:v>294.65341522400001</c:v>
                </c:pt>
                <c:pt idx="156">
                  <c:v>296.16445684160004</c:v>
                </c:pt>
                <c:pt idx="157">
                  <c:v>297.67549845920001</c:v>
                </c:pt>
                <c:pt idx="158">
                  <c:v>299.18654007679999</c:v>
                </c:pt>
                <c:pt idx="159">
                  <c:v>300.69758169440001</c:v>
                </c:pt>
                <c:pt idx="160">
                  <c:v>302.20862331199999</c:v>
                </c:pt>
                <c:pt idx="161">
                  <c:v>303.71966492960001</c:v>
                </c:pt>
                <c:pt idx="162">
                  <c:v>305.23070654719999</c:v>
                </c:pt>
                <c:pt idx="163">
                  <c:v>306.74174816480001</c:v>
                </c:pt>
                <c:pt idx="164">
                  <c:v>308.25278978239999</c:v>
                </c:pt>
                <c:pt idx="165">
                  <c:v>309.76383140000002</c:v>
                </c:pt>
                <c:pt idx="166">
                  <c:v>311.27487301760004</c:v>
                </c:pt>
                <c:pt idx="167">
                  <c:v>312.78591463520002</c:v>
                </c:pt>
                <c:pt idx="168">
                  <c:v>314.29695625280004</c:v>
                </c:pt>
                <c:pt idx="169">
                  <c:v>315.80799787040002</c:v>
                </c:pt>
                <c:pt idx="170">
                  <c:v>317.31903948799999</c:v>
                </c:pt>
                <c:pt idx="171">
                  <c:v>318.83008110560002</c:v>
                </c:pt>
                <c:pt idx="172">
                  <c:v>320.34112272319999</c:v>
                </c:pt>
                <c:pt idx="173">
                  <c:v>321.85216434080002</c:v>
                </c:pt>
                <c:pt idx="174">
                  <c:v>323.36320595840004</c:v>
                </c:pt>
                <c:pt idx="175">
                  <c:v>324.87424757600002</c:v>
                </c:pt>
                <c:pt idx="176">
                  <c:v>326.38528919360004</c:v>
                </c:pt>
                <c:pt idx="177">
                  <c:v>327.89633081120002</c:v>
                </c:pt>
                <c:pt idx="178">
                  <c:v>329.40737242880004</c:v>
                </c:pt>
                <c:pt idx="179">
                  <c:v>330.91841404640002</c:v>
                </c:pt>
              </c:numCache>
            </c:numRef>
          </c:xVal>
          <c:yVal>
            <c:numRef>
              <c:f>'K1889'!$B$3:$B$182</c:f>
              <c:numCache>
                <c:formatCode>General</c:formatCode>
                <c:ptCount val="180"/>
                <c:pt idx="0">
                  <c:v>0.96779000000000004</c:v>
                </c:pt>
                <c:pt idx="1">
                  <c:v>0.92252999999999996</c:v>
                </c:pt>
                <c:pt idx="2">
                  <c:v>0.87971999999999995</c:v>
                </c:pt>
                <c:pt idx="3">
                  <c:v>0.79096999999999995</c:v>
                </c:pt>
                <c:pt idx="4">
                  <c:v>0.79371000000000003</c:v>
                </c:pt>
                <c:pt idx="5">
                  <c:v>0.82669000000000004</c:v>
                </c:pt>
                <c:pt idx="6">
                  <c:v>0.80242000000000002</c:v>
                </c:pt>
                <c:pt idx="7">
                  <c:v>0.85440000000000005</c:v>
                </c:pt>
                <c:pt idx="8">
                  <c:v>0.90676999999999996</c:v>
                </c:pt>
                <c:pt idx="9">
                  <c:v>0.94499</c:v>
                </c:pt>
                <c:pt idx="10">
                  <c:v>0.93662000000000001</c:v>
                </c:pt>
                <c:pt idx="11">
                  <c:v>0.92954000000000003</c:v>
                </c:pt>
                <c:pt idx="12">
                  <c:v>0.91005000000000003</c:v>
                </c:pt>
                <c:pt idx="13">
                  <c:v>0.94918000000000002</c:v>
                </c:pt>
                <c:pt idx="14">
                  <c:v>0.97596000000000005</c:v>
                </c:pt>
                <c:pt idx="15">
                  <c:v>0.95711999999999997</c:v>
                </c:pt>
                <c:pt idx="16">
                  <c:v>0.91435</c:v>
                </c:pt>
                <c:pt idx="17">
                  <c:v>0.92734000000000005</c:v>
                </c:pt>
                <c:pt idx="18">
                  <c:v>0.93406999999999996</c:v>
                </c:pt>
                <c:pt idx="19">
                  <c:v>0.90590000000000004</c:v>
                </c:pt>
                <c:pt idx="20">
                  <c:v>0.93298000000000003</c:v>
                </c:pt>
                <c:pt idx="21">
                  <c:v>0.91756000000000004</c:v>
                </c:pt>
                <c:pt idx="22">
                  <c:v>0.91427999999999998</c:v>
                </c:pt>
                <c:pt idx="23">
                  <c:v>0.93347999999999998</c:v>
                </c:pt>
                <c:pt idx="24">
                  <c:v>0.94677999999999995</c:v>
                </c:pt>
                <c:pt idx="25">
                  <c:v>0.93576000000000004</c:v>
                </c:pt>
                <c:pt idx="26">
                  <c:v>0.91046000000000005</c:v>
                </c:pt>
                <c:pt idx="27">
                  <c:v>0.90698999999999996</c:v>
                </c:pt>
                <c:pt idx="28">
                  <c:v>0.91513999999999995</c:v>
                </c:pt>
                <c:pt idx="29">
                  <c:v>0.92379</c:v>
                </c:pt>
                <c:pt idx="30">
                  <c:v>0.90047999999999995</c:v>
                </c:pt>
                <c:pt idx="31">
                  <c:v>0.92149999999999999</c:v>
                </c:pt>
                <c:pt idx="32">
                  <c:v>0.92398999999999998</c:v>
                </c:pt>
                <c:pt idx="33">
                  <c:v>0.92151000000000005</c:v>
                </c:pt>
                <c:pt idx="34">
                  <c:v>0.92793999999999999</c:v>
                </c:pt>
                <c:pt idx="35">
                  <c:v>0.92205000000000004</c:v>
                </c:pt>
                <c:pt idx="36">
                  <c:v>0.92418</c:v>
                </c:pt>
                <c:pt idx="37">
                  <c:v>0.9123</c:v>
                </c:pt>
                <c:pt idx="38">
                  <c:v>0.91166999999999998</c:v>
                </c:pt>
                <c:pt idx="39">
                  <c:v>0.89775000000000005</c:v>
                </c:pt>
                <c:pt idx="40">
                  <c:v>0.90203999999999995</c:v>
                </c:pt>
                <c:pt idx="41">
                  <c:v>0.90668000000000004</c:v>
                </c:pt>
                <c:pt idx="42">
                  <c:v>0.89795999999999998</c:v>
                </c:pt>
                <c:pt idx="43">
                  <c:v>0.89525999999999994</c:v>
                </c:pt>
                <c:pt idx="44">
                  <c:v>0.89663999999999999</c:v>
                </c:pt>
                <c:pt idx="45">
                  <c:v>0.88170999999999999</c:v>
                </c:pt>
                <c:pt idx="46">
                  <c:v>0.86577000000000004</c:v>
                </c:pt>
                <c:pt idx="47">
                  <c:v>0.86070999999999998</c:v>
                </c:pt>
                <c:pt idx="48">
                  <c:v>0.84992999999999996</c:v>
                </c:pt>
                <c:pt idx="49">
                  <c:v>0.83392999999999995</c:v>
                </c:pt>
                <c:pt idx="50">
                  <c:v>0.81169999999999998</c:v>
                </c:pt>
                <c:pt idx="51">
                  <c:v>0.79510000000000003</c:v>
                </c:pt>
                <c:pt idx="52">
                  <c:v>0.77793999999999996</c:v>
                </c:pt>
                <c:pt idx="53">
                  <c:v>0.72897999999999996</c:v>
                </c:pt>
                <c:pt idx="54">
                  <c:v>0.62175000000000002</c:v>
                </c:pt>
                <c:pt idx="55">
                  <c:v>0.46579999999999999</c:v>
                </c:pt>
                <c:pt idx="56">
                  <c:v>0.30235000000000001</c:v>
                </c:pt>
                <c:pt idx="57">
                  <c:v>0.17097999999999999</c:v>
                </c:pt>
                <c:pt idx="58">
                  <c:v>9.1200000000000003E-2</c:v>
                </c:pt>
                <c:pt idx="59">
                  <c:v>4.9610000000000001E-2</c:v>
                </c:pt>
                <c:pt idx="60">
                  <c:v>2.904E-2</c:v>
                </c:pt>
                <c:pt idx="61">
                  <c:v>1.9259999999999999E-2</c:v>
                </c:pt>
                <c:pt idx="62">
                  <c:v>1.359E-2</c:v>
                </c:pt>
                <c:pt idx="63">
                  <c:v>1.0290000000000001E-2</c:v>
                </c:pt>
                <c:pt idx="64">
                  <c:v>8.3899999999999999E-3</c:v>
                </c:pt>
                <c:pt idx="65">
                  <c:v>6.9499999999999996E-3</c:v>
                </c:pt>
                <c:pt idx="66">
                  <c:v>4.5700000000000003E-3</c:v>
                </c:pt>
                <c:pt idx="67">
                  <c:v>2.7299999999999998E-3</c:v>
                </c:pt>
                <c:pt idx="68">
                  <c:v>1.16E-3</c:v>
                </c:pt>
                <c:pt idx="69">
                  <c:v>4.6000000000000001E-4</c:v>
                </c:pt>
                <c:pt idx="70">
                  <c:v>1.64E-3</c:v>
                </c:pt>
                <c:pt idx="71">
                  <c:v>2.1900000000000001E-3</c:v>
                </c:pt>
                <c:pt idx="72">
                  <c:v>4.4999999999999999E-4</c:v>
                </c:pt>
                <c:pt idx="73">
                  <c:v>3.1E-4</c:v>
                </c:pt>
                <c:pt idx="74">
                  <c:v>6.8999999999999997E-4</c:v>
                </c:pt>
                <c:pt idx="75">
                  <c:v>0</c:v>
                </c:pt>
                <c:pt idx="76">
                  <c:v>0</c:v>
                </c:pt>
                <c:pt idx="77">
                  <c:v>3.1E-4</c:v>
                </c:pt>
                <c:pt idx="78">
                  <c:v>0</c:v>
                </c:pt>
                <c:pt idx="79">
                  <c:v>0</c:v>
                </c:pt>
                <c:pt idx="80">
                  <c:v>5.8E-4</c:v>
                </c:pt>
                <c:pt idx="81">
                  <c:v>4.6000000000000001E-4</c:v>
                </c:pt>
                <c:pt idx="82">
                  <c:v>1.17E-3</c:v>
                </c:pt>
                <c:pt idx="83">
                  <c:v>1.81E-3</c:v>
                </c:pt>
                <c:pt idx="84">
                  <c:v>2.3E-3</c:v>
                </c:pt>
                <c:pt idx="85">
                  <c:v>8.5999999999999998E-4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3.6000000000000002E-4</c:v>
                </c:pt>
                <c:pt idx="90">
                  <c:v>1.1299999999999999E-3</c:v>
                </c:pt>
                <c:pt idx="91">
                  <c:v>9.2000000000000003E-4</c:v>
                </c:pt>
                <c:pt idx="92">
                  <c:v>3.4000000000000002E-4</c:v>
                </c:pt>
                <c:pt idx="93">
                  <c:v>2.9E-4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2.0000000000000001E-4</c:v>
                </c:pt>
                <c:pt idx="100">
                  <c:v>4.4000000000000002E-4</c:v>
                </c:pt>
                <c:pt idx="101">
                  <c:v>9.8999999999999999E-4</c:v>
                </c:pt>
                <c:pt idx="102">
                  <c:v>5.5999999999999995E-4</c:v>
                </c:pt>
                <c:pt idx="103">
                  <c:v>3.3E-4</c:v>
                </c:pt>
                <c:pt idx="104">
                  <c:v>3.6000000000000002E-4</c:v>
                </c:pt>
                <c:pt idx="105">
                  <c:v>1.6000000000000001E-4</c:v>
                </c:pt>
                <c:pt idx="106">
                  <c:v>3.1E-4</c:v>
                </c:pt>
                <c:pt idx="107">
                  <c:v>1.4999999999999999E-4</c:v>
                </c:pt>
                <c:pt idx="108">
                  <c:v>0</c:v>
                </c:pt>
                <c:pt idx="109">
                  <c:v>1.6000000000000001E-4</c:v>
                </c:pt>
                <c:pt idx="110">
                  <c:v>3.0000000000000001E-5</c:v>
                </c:pt>
                <c:pt idx="111">
                  <c:v>0</c:v>
                </c:pt>
                <c:pt idx="112">
                  <c:v>1.2E-4</c:v>
                </c:pt>
                <c:pt idx="113">
                  <c:v>0</c:v>
                </c:pt>
                <c:pt idx="114">
                  <c:v>0</c:v>
                </c:pt>
                <c:pt idx="115">
                  <c:v>8.0000000000000007E-5</c:v>
                </c:pt>
                <c:pt idx="116">
                  <c:v>0</c:v>
                </c:pt>
                <c:pt idx="117">
                  <c:v>0</c:v>
                </c:pt>
                <c:pt idx="118">
                  <c:v>3.0000000000000001E-5</c:v>
                </c:pt>
                <c:pt idx="119">
                  <c:v>7.2000000000000005E-4</c:v>
                </c:pt>
                <c:pt idx="120">
                  <c:v>7.5000000000000002E-4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2.9E-4</c:v>
                </c:pt>
                <c:pt idx="129">
                  <c:v>1.1E-4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2.5000000000000001E-4</c:v>
                </c:pt>
                <c:pt idx="134">
                  <c:v>1.9000000000000001E-4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2.0000000000000001E-4</c:v>
                </c:pt>
                <c:pt idx="149">
                  <c:v>1.31E-3</c:v>
                </c:pt>
                <c:pt idx="150">
                  <c:v>2.4399999999999999E-3</c:v>
                </c:pt>
                <c:pt idx="151">
                  <c:v>3.5400000000000002E-3</c:v>
                </c:pt>
                <c:pt idx="152">
                  <c:v>4.5599999999999998E-3</c:v>
                </c:pt>
                <c:pt idx="153">
                  <c:v>3.6800000000000001E-3</c:v>
                </c:pt>
                <c:pt idx="154">
                  <c:v>2.15E-3</c:v>
                </c:pt>
                <c:pt idx="155">
                  <c:v>1.3600000000000001E-3</c:v>
                </c:pt>
                <c:pt idx="156">
                  <c:v>7.2000000000000005E-4</c:v>
                </c:pt>
                <c:pt idx="157">
                  <c:v>3.3E-4</c:v>
                </c:pt>
                <c:pt idx="158">
                  <c:v>4.2999999999999999E-4</c:v>
                </c:pt>
                <c:pt idx="159">
                  <c:v>0</c:v>
                </c:pt>
                <c:pt idx="160">
                  <c:v>0</c:v>
                </c:pt>
                <c:pt idx="161">
                  <c:v>6.9999999999999994E-5</c:v>
                </c:pt>
                <c:pt idx="162">
                  <c:v>2.5999999999999998E-4</c:v>
                </c:pt>
                <c:pt idx="163">
                  <c:v>2.1000000000000001E-4</c:v>
                </c:pt>
                <c:pt idx="164">
                  <c:v>4.2999999999999999E-4</c:v>
                </c:pt>
                <c:pt idx="165">
                  <c:v>4.8999999999999998E-4</c:v>
                </c:pt>
                <c:pt idx="166">
                  <c:v>2.0000000000000001E-4</c:v>
                </c:pt>
                <c:pt idx="167">
                  <c:v>1E-4</c:v>
                </c:pt>
                <c:pt idx="168">
                  <c:v>2.3000000000000001E-4</c:v>
                </c:pt>
                <c:pt idx="169">
                  <c:v>3.1E-4</c:v>
                </c:pt>
                <c:pt idx="170">
                  <c:v>3.8999999999999999E-4</c:v>
                </c:pt>
                <c:pt idx="171">
                  <c:v>4.8000000000000001E-4</c:v>
                </c:pt>
                <c:pt idx="172">
                  <c:v>4.4999999999999999E-4</c:v>
                </c:pt>
                <c:pt idx="173">
                  <c:v>3.5E-4</c:v>
                </c:pt>
                <c:pt idx="174">
                  <c:v>4.0999999999999999E-4</c:v>
                </c:pt>
                <c:pt idx="175">
                  <c:v>2.1000000000000001E-4</c:v>
                </c:pt>
                <c:pt idx="176">
                  <c:v>1.2999999999999999E-4</c:v>
                </c:pt>
                <c:pt idx="177">
                  <c:v>5.1000000000000004E-4</c:v>
                </c:pt>
                <c:pt idx="178">
                  <c:v>2.3000000000000001E-4</c:v>
                </c:pt>
                <c:pt idx="179">
                  <c:v>2.0000000000000002E-5</c:v>
                </c:pt>
              </c:numCache>
            </c:numRef>
          </c:yVal>
          <c:smooth val="1"/>
        </c:ser>
        <c:ser>
          <c:idx val="2"/>
          <c:order val="2"/>
          <c:tx>
            <c:v>K1888</c:v>
          </c:tx>
          <c:marker>
            <c:symbol val="none"/>
          </c:marker>
          <c:xVal>
            <c:numRef>
              <c:f>'K1888'!$A$3:$A$182</c:f>
              <c:numCache>
                <c:formatCode>General</c:formatCode>
                <c:ptCount val="180"/>
                <c:pt idx="0">
                  <c:v>60.441964495999997</c:v>
                </c:pt>
                <c:pt idx="1">
                  <c:v>61.953006113600004</c:v>
                </c:pt>
                <c:pt idx="2">
                  <c:v>63.464047731199997</c:v>
                </c:pt>
                <c:pt idx="3">
                  <c:v>64.975089348799997</c:v>
                </c:pt>
                <c:pt idx="4">
                  <c:v>66.486130966399998</c:v>
                </c:pt>
                <c:pt idx="5">
                  <c:v>67.997172583999998</c:v>
                </c:pt>
                <c:pt idx="6">
                  <c:v>69.508214201599998</c:v>
                </c:pt>
                <c:pt idx="7">
                  <c:v>71.019255819199998</c:v>
                </c:pt>
                <c:pt idx="8">
                  <c:v>72.530297436799998</c:v>
                </c:pt>
                <c:pt idx="9">
                  <c:v>74.041339054399998</c:v>
                </c:pt>
                <c:pt idx="10">
                  <c:v>75.552380671999984</c:v>
                </c:pt>
                <c:pt idx="11">
                  <c:v>77.063422289599998</c:v>
                </c:pt>
                <c:pt idx="12">
                  <c:v>78.574463907199998</c:v>
                </c:pt>
                <c:pt idx="13">
                  <c:v>80.085505524799999</c:v>
                </c:pt>
                <c:pt idx="14">
                  <c:v>81.596547142399999</c:v>
                </c:pt>
                <c:pt idx="15">
                  <c:v>83.107588759999985</c:v>
                </c:pt>
                <c:pt idx="16">
                  <c:v>84.618630377599999</c:v>
                </c:pt>
                <c:pt idx="17">
                  <c:v>86.129671995199999</c:v>
                </c:pt>
                <c:pt idx="18">
                  <c:v>87.640713612799999</c:v>
                </c:pt>
                <c:pt idx="19">
                  <c:v>89.151755230399999</c:v>
                </c:pt>
                <c:pt idx="20">
                  <c:v>90.662796847999999</c:v>
                </c:pt>
                <c:pt idx="21">
                  <c:v>92.173838465599999</c:v>
                </c:pt>
                <c:pt idx="22">
                  <c:v>93.684880083199999</c:v>
                </c:pt>
                <c:pt idx="23">
                  <c:v>95.1959217008</c:v>
                </c:pt>
                <c:pt idx="24">
                  <c:v>96.706963318399985</c:v>
                </c:pt>
                <c:pt idx="25">
                  <c:v>98.218004936</c:v>
                </c:pt>
                <c:pt idx="26">
                  <c:v>99.7290465536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110.30633787679999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117.86154596479999</c:v>
                </c:pt>
                <c:pt idx="39">
                  <c:v>119.3725875824</c:v>
                </c:pt>
                <c:pt idx="40">
                  <c:v>120.88362919999997</c:v>
                </c:pt>
                <c:pt idx="41">
                  <c:v>122.39467081760002</c:v>
                </c:pt>
                <c:pt idx="42">
                  <c:v>123.90571243519999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128.43883728799997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135.99404537599997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143.54925346399997</c:v>
                </c:pt>
                <c:pt idx="56">
                  <c:v>145.06029508160003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151.10446155199998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155.63758640479998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163.19279449279998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170.74800258079998</c:v>
                </c:pt>
                <c:pt idx="74">
                  <c:v>172.25904419840001</c:v>
                </c:pt>
                <c:pt idx="75">
                  <c:v>173.77008581600001</c:v>
                </c:pt>
                <c:pt idx="76">
                  <c:v>175.28112743360001</c:v>
                </c:pt>
                <c:pt idx="77">
                  <c:v>176.79216905120001</c:v>
                </c:pt>
                <c:pt idx="78">
                  <c:v>178.30321066879998</c:v>
                </c:pt>
                <c:pt idx="79">
                  <c:v>179.81425228640001</c:v>
                </c:pt>
                <c:pt idx="80">
                  <c:v>181.32529390400001</c:v>
                </c:pt>
                <c:pt idx="81">
                  <c:v>182.83633552159998</c:v>
                </c:pt>
                <c:pt idx="82">
                  <c:v>184.34737713920001</c:v>
                </c:pt>
                <c:pt idx="83">
                  <c:v>185.85841875679998</c:v>
                </c:pt>
                <c:pt idx="84">
                  <c:v>187.36946037440003</c:v>
                </c:pt>
                <c:pt idx="85">
                  <c:v>188.88050199200001</c:v>
                </c:pt>
                <c:pt idx="86">
                  <c:v>190.39154360959998</c:v>
                </c:pt>
                <c:pt idx="87">
                  <c:v>191.90258522720001</c:v>
                </c:pt>
                <c:pt idx="88">
                  <c:v>193.41362684480001</c:v>
                </c:pt>
                <c:pt idx="89">
                  <c:v>194.92466846240004</c:v>
                </c:pt>
                <c:pt idx="90">
                  <c:v>196.43571008000001</c:v>
                </c:pt>
                <c:pt idx="91">
                  <c:v>197.94675169759998</c:v>
                </c:pt>
                <c:pt idx="92">
                  <c:v>199.45779331520001</c:v>
                </c:pt>
                <c:pt idx="93">
                  <c:v>200.96883493280001</c:v>
                </c:pt>
                <c:pt idx="94">
                  <c:v>202.47987655039998</c:v>
                </c:pt>
                <c:pt idx="95">
                  <c:v>203.99091816800001</c:v>
                </c:pt>
                <c:pt idx="96">
                  <c:v>205.50195978559998</c:v>
                </c:pt>
                <c:pt idx="97">
                  <c:v>207.01300140320001</c:v>
                </c:pt>
                <c:pt idx="98">
                  <c:v>208.52404302080001</c:v>
                </c:pt>
                <c:pt idx="99">
                  <c:v>210.03508463839998</c:v>
                </c:pt>
                <c:pt idx="100">
                  <c:v>211.54612625600001</c:v>
                </c:pt>
                <c:pt idx="101">
                  <c:v>213.05716787359998</c:v>
                </c:pt>
                <c:pt idx="102">
                  <c:v>214.56820949120001</c:v>
                </c:pt>
                <c:pt idx="103">
                  <c:v>216.07925110880001</c:v>
                </c:pt>
                <c:pt idx="104">
                  <c:v>217.59029272639998</c:v>
                </c:pt>
                <c:pt idx="105">
                  <c:v>219.10133434400001</c:v>
                </c:pt>
                <c:pt idx="106">
                  <c:v>220.61237596159998</c:v>
                </c:pt>
                <c:pt idx="107">
                  <c:v>222.12341757920004</c:v>
                </c:pt>
                <c:pt idx="108">
                  <c:v>223.63445919680001</c:v>
                </c:pt>
                <c:pt idx="109">
                  <c:v>225.14550081439998</c:v>
                </c:pt>
                <c:pt idx="110">
                  <c:v>226.65654243200001</c:v>
                </c:pt>
                <c:pt idx="111">
                  <c:v>228.16758404960001</c:v>
                </c:pt>
                <c:pt idx="112">
                  <c:v>229.67862566720004</c:v>
                </c:pt>
                <c:pt idx="113">
                  <c:v>231.18966728480001</c:v>
                </c:pt>
                <c:pt idx="114">
                  <c:v>232.70070890239998</c:v>
                </c:pt>
                <c:pt idx="115">
                  <c:v>234.21175052000001</c:v>
                </c:pt>
                <c:pt idx="116">
                  <c:v>235.72279213760001</c:v>
                </c:pt>
                <c:pt idx="117">
                  <c:v>237.23383375519998</c:v>
                </c:pt>
                <c:pt idx="118">
                  <c:v>238.74487537280001</c:v>
                </c:pt>
                <c:pt idx="119">
                  <c:v>240.25591699039998</c:v>
                </c:pt>
                <c:pt idx="120">
                  <c:v>241.76695860800001</c:v>
                </c:pt>
                <c:pt idx="121">
                  <c:v>243.27800022560001</c:v>
                </c:pt>
                <c:pt idx="122">
                  <c:v>244.78904184319998</c:v>
                </c:pt>
                <c:pt idx="123">
                  <c:v>246.30008346080001</c:v>
                </c:pt>
                <c:pt idx="124">
                  <c:v>247.81112507839998</c:v>
                </c:pt>
                <c:pt idx="125">
                  <c:v>249.32216669600001</c:v>
                </c:pt>
                <c:pt idx="126">
                  <c:v>250.83320831360001</c:v>
                </c:pt>
                <c:pt idx="127">
                  <c:v>252.34424993119998</c:v>
                </c:pt>
                <c:pt idx="128">
                  <c:v>253.85529154880001</c:v>
                </c:pt>
                <c:pt idx="129">
                  <c:v>255.36633316639998</c:v>
                </c:pt>
                <c:pt idx="130">
                  <c:v>256.87737478400004</c:v>
                </c:pt>
                <c:pt idx="131">
                  <c:v>258.38841640160001</c:v>
                </c:pt>
                <c:pt idx="132">
                  <c:v>259.89945801919998</c:v>
                </c:pt>
                <c:pt idx="133">
                  <c:v>261.41049963680001</c:v>
                </c:pt>
                <c:pt idx="134">
                  <c:v>262.92154125439998</c:v>
                </c:pt>
                <c:pt idx="135">
                  <c:v>264.43258287199995</c:v>
                </c:pt>
                <c:pt idx="136">
                  <c:v>265.94362448959998</c:v>
                </c:pt>
                <c:pt idx="137">
                  <c:v>267.45466610720001</c:v>
                </c:pt>
                <c:pt idx="138">
                  <c:v>268.96570772480004</c:v>
                </c:pt>
                <c:pt idx="139">
                  <c:v>270.47674934240001</c:v>
                </c:pt>
                <c:pt idx="140">
                  <c:v>271.98779095999998</c:v>
                </c:pt>
                <c:pt idx="141">
                  <c:v>273.49883257760001</c:v>
                </c:pt>
                <c:pt idx="142">
                  <c:v>275.00987419519998</c:v>
                </c:pt>
                <c:pt idx="143">
                  <c:v>276.52091581280001</c:v>
                </c:pt>
                <c:pt idx="144">
                  <c:v>278.03195743039998</c:v>
                </c:pt>
                <c:pt idx="145">
                  <c:v>279.54299904799996</c:v>
                </c:pt>
                <c:pt idx="146">
                  <c:v>281.05404066560004</c:v>
                </c:pt>
                <c:pt idx="147">
                  <c:v>282.56508228320001</c:v>
                </c:pt>
                <c:pt idx="148">
                  <c:v>284.07612390080004</c:v>
                </c:pt>
                <c:pt idx="149">
                  <c:v>285.58716551840001</c:v>
                </c:pt>
                <c:pt idx="150">
                  <c:v>287.09820713599998</c:v>
                </c:pt>
                <c:pt idx="151">
                  <c:v>288.60924875360001</c:v>
                </c:pt>
                <c:pt idx="152">
                  <c:v>290.12029037119999</c:v>
                </c:pt>
                <c:pt idx="153">
                  <c:v>291.63133198880001</c:v>
                </c:pt>
                <c:pt idx="154">
                  <c:v>293.14237360639999</c:v>
                </c:pt>
                <c:pt idx="155">
                  <c:v>294.65341522400001</c:v>
                </c:pt>
                <c:pt idx="156">
                  <c:v>296.16445684160004</c:v>
                </c:pt>
                <c:pt idx="157">
                  <c:v>297.67549845920001</c:v>
                </c:pt>
                <c:pt idx="158">
                  <c:v>299.18654007679999</c:v>
                </c:pt>
                <c:pt idx="159">
                  <c:v>300.69758169440001</c:v>
                </c:pt>
                <c:pt idx="160">
                  <c:v>302.20862331199999</c:v>
                </c:pt>
                <c:pt idx="161">
                  <c:v>303.71966492960001</c:v>
                </c:pt>
                <c:pt idx="162">
                  <c:v>305.23070654719999</c:v>
                </c:pt>
                <c:pt idx="163">
                  <c:v>306.74174816480001</c:v>
                </c:pt>
                <c:pt idx="164">
                  <c:v>308.25278978239999</c:v>
                </c:pt>
                <c:pt idx="165">
                  <c:v>309.76383140000002</c:v>
                </c:pt>
                <c:pt idx="166">
                  <c:v>311.27487301760004</c:v>
                </c:pt>
                <c:pt idx="167">
                  <c:v>312.78591463520002</c:v>
                </c:pt>
                <c:pt idx="168">
                  <c:v>314.29695625280004</c:v>
                </c:pt>
                <c:pt idx="169">
                  <c:v>315.80799787040002</c:v>
                </c:pt>
                <c:pt idx="170">
                  <c:v>317.31903948799999</c:v>
                </c:pt>
                <c:pt idx="171">
                  <c:v>318.83008110560002</c:v>
                </c:pt>
                <c:pt idx="172">
                  <c:v>320.34112272319999</c:v>
                </c:pt>
                <c:pt idx="173">
                  <c:v>321.85216434080002</c:v>
                </c:pt>
                <c:pt idx="174">
                  <c:v>323.36320595840004</c:v>
                </c:pt>
                <c:pt idx="175">
                  <c:v>324.87424757600002</c:v>
                </c:pt>
                <c:pt idx="176">
                  <c:v>326.38528919360004</c:v>
                </c:pt>
                <c:pt idx="177">
                  <c:v>327.89633081120002</c:v>
                </c:pt>
                <c:pt idx="178">
                  <c:v>329.40737242880004</c:v>
                </c:pt>
                <c:pt idx="179">
                  <c:v>330.91841404640002</c:v>
                </c:pt>
              </c:numCache>
            </c:numRef>
          </c:xVal>
          <c:yVal>
            <c:numRef>
              <c:f>'K1888'!$B$3:$B$182</c:f>
              <c:numCache>
                <c:formatCode>General</c:formatCode>
                <c:ptCount val="180"/>
                <c:pt idx="0">
                  <c:v>0.98668</c:v>
                </c:pt>
                <c:pt idx="1">
                  <c:v>0.92947000000000002</c:v>
                </c:pt>
                <c:pt idx="2">
                  <c:v>0.90790999999999999</c:v>
                </c:pt>
                <c:pt idx="3">
                  <c:v>0.87372000000000005</c:v>
                </c:pt>
                <c:pt idx="4">
                  <c:v>0.89217999999999997</c:v>
                </c:pt>
                <c:pt idx="5">
                  <c:v>0.91624000000000005</c:v>
                </c:pt>
                <c:pt idx="6">
                  <c:v>0.81667999999999996</c:v>
                </c:pt>
                <c:pt idx="7">
                  <c:v>0.85785999999999996</c:v>
                </c:pt>
                <c:pt idx="8">
                  <c:v>0.94057000000000002</c:v>
                </c:pt>
                <c:pt idx="9">
                  <c:v>0.96392999999999995</c:v>
                </c:pt>
                <c:pt idx="10">
                  <c:v>0.95033000000000001</c:v>
                </c:pt>
                <c:pt idx="11">
                  <c:v>0.95506000000000002</c:v>
                </c:pt>
                <c:pt idx="12">
                  <c:v>0.94035000000000002</c:v>
                </c:pt>
                <c:pt idx="13">
                  <c:v>0.9889</c:v>
                </c:pt>
                <c:pt idx="14">
                  <c:v>0.99438000000000004</c:v>
                </c:pt>
                <c:pt idx="15">
                  <c:v>0.97175999999999996</c:v>
                </c:pt>
                <c:pt idx="16">
                  <c:v>0.92830999999999997</c:v>
                </c:pt>
                <c:pt idx="17">
                  <c:v>0.92854000000000003</c:v>
                </c:pt>
                <c:pt idx="18">
                  <c:v>0.93059000000000003</c:v>
                </c:pt>
                <c:pt idx="19">
                  <c:v>0.90222000000000002</c:v>
                </c:pt>
                <c:pt idx="20">
                  <c:v>0.94843999999999995</c:v>
                </c:pt>
                <c:pt idx="21">
                  <c:v>0.93354999999999999</c:v>
                </c:pt>
                <c:pt idx="22">
                  <c:v>0.93598000000000003</c:v>
                </c:pt>
                <c:pt idx="23">
                  <c:v>0.93079000000000001</c:v>
                </c:pt>
                <c:pt idx="24">
                  <c:v>0.92795000000000005</c:v>
                </c:pt>
                <c:pt idx="25">
                  <c:v>0.91593999999999998</c:v>
                </c:pt>
                <c:pt idx="26">
                  <c:v>0.87250000000000005</c:v>
                </c:pt>
                <c:pt idx="27">
                  <c:v>0.86238000000000004</c:v>
                </c:pt>
                <c:pt idx="28">
                  <c:v>0.87019000000000002</c:v>
                </c:pt>
                <c:pt idx="29">
                  <c:v>0.84401000000000004</c:v>
                </c:pt>
                <c:pt idx="30">
                  <c:v>0.78930999999999996</c:v>
                </c:pt>
                <c:pt idx="31">
                  <c:v>0.77732000000000001</c:v>
                </c:pt>
                <c:pt idx="32">
                  <c:v>0.78286</c:v>
                </c:pt>
                <c:pt idx="33">
                  <c:v>0.74694000000000005</c:v>
                </c:pt>
                <c:pt idx="34">
                  <c:v>0.61861999999999995</c:v>
                </c:pt>
                <c:pt idx="35">
                  <c:v>0.41181000000000001</c:v>
                </c:pt>
                <c:pt idx="36">
                  <c:v>0.22411</c:v>
                </c:pt>
                <c:pt idx="37">
                  <c:v>0.1235</c:v>
                </c:pt>
                <c:pt idx="38">
                  <c:v>8.0240000000000006E-2</c:v>
                </c:pt>
                <c:pt idx="39">
                  <c:v>4.3279999999999999E-2</c:v>
                </c:pt>
                <c:pt idx="40">
                  <c:v>1.8290000000000001E-2</c:v>
                </c:pt>
                <c:pt idx="41">
                  <c:v>6.8100000000000001E-3</c:v>
                </c:pt>
                <c:pt idx="42">
                  <c:v>2.6700000000000001E-3</c:v>
                </c:pt>
                <c:pt idx="43">
                  <c:v>1.99E-3</c:v>
                </c:pt>
                <c:pt idx="44">
                  <c:v>3.81E-3</c:v>
                </c:pt>
                <c:pt idx="45">
                  <c:v>3.3600000000000001E-3</c:v>
                </c:pt>
                <c:pt idx="46">
                  <c:v>2.5899999999999999E-3</c:v>
                </c:pt>
                <c:pt idx="47">
                  <c:v>2.1199999999999999E-3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5.0000000000000002E-5</c:v>
                </c:pt>
                <c:pt idx="52">
                  <c:v>2.3600000000000001E-3</c:v>
                </c:pt>
                <c:pt idx="53">
                  <c:v>3.3500000000000001E-3</c:v>
                </c:pt>
                <c:pt idx="54">
                  <c:v>2.15E-3</c:v>
                </c:pt>
                <c:pt idx="55">
                  <c:v>1.9300000000000001E-3</c:v>
                </c:pt>
                <c:pt idx="56">
                  <c:v>1.07E-3</c:v>
                </c:pt>
                <c:pt idx="57">
                  <c:v>5.0000000000000002E-5</c:v>
                </c:pt>
                <c:pt idx="58">
                  <c:v>0</c:v>
                </c:pt>
                <c:pt idx="59">
                  <c:v>0</c:v>
                </c:pt>
                <c:pt idx="60">
                  <c:v>3.8000000000000002E-4</c:v>
                </c:pt>
                <c:pt idx="61">
                  <c:v>1.2700000000000001E-3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7.7999999999999999E-4</c:v>
                </c:pt>
                <c:pt idx="66">
                  <c:v>1.1800000000000001E-3</c:v>
                </c:pt>
                <c:pt idx="67">
                  <c:v>6.4000000000000005E-4</c:v>
                </c:pt>
                <c:pt idx="68">
                  <c:v>5.2999999999999998E-4</c:v>
                </c:pt>
                <c:pt idx="69">
                  <c:v>4.6999999999999999E-4</c:v>
                </c:pt>
                <c:pt idx="70">
                  <c:v>6.4999999999999997E-4</c:v>
                </c:pt>
                <c:pt idx="71">
                  <c:v>0</c:v>
                </c:pt>
                <c:pt idx="72">
                  <c:v>1E-4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8.0000000000000007E-5</c:v>
                </c:pt>
                <c:pt idx="81">
                  <c:v>6.9999999999999999E-4</c:v>
                </c:pt>
                <c:pt idx="82">
                  <c:v>1.32E-3</c:v>
                </c:pt>
                <c:pt idx="83">
                  <c:v>4.6999999999999999E-4</c:v>
                </c:pt>
                <c:pt idx="84">
                  <c:v>3.0000000000000001E-5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5.8E-4</c:v>
                </c:pt>
                <c:pt idx="89">
                  <c:v>1.0300000000000001E-3</c:v>
                </c:pt>
                <c:pt idx="90">
                  <c:v>2.7E-4</c:v>
                </c:pt>
                <c:pt idx="91">
                  <c:v>0</c:v>
                </c:pt>
                <c:pt idx="92">
                  <c:v>5.4000000000000001E-4</c:v>
                </c:pt>
                <c:pt idx="93">
                  <c:v>9.3000000000000005E-4</c:v>
                </c:pt>
                <c:pt idx="94">
                  <c:v>2.7E-4</c:v>
                </c:pt>
                <c:pt idx="95">
                  <c:v>4.6000000000000001E-4</c:v>
                </c:pt>
                <c:pt idx="96">
                  <c:v>8.3000000000000001E-4</c:v>
                </c:pt>
                <c:pt idx="97">
                  <c:v>7.1000000000000002E-4</c:v>
                </c:pt>
                <c:pt idx="98">
                  <c:v>8.8999999999999995E-4</c:v>
                </c:pt>
                <c:pt idx="99">
                  <c:v>1.15E-3</c:v>
                </c:pt>
                <c:pt idx="100">
                  <c:v>8.8999999999999995E-4</c:v>
                </c:pt>
                <c:pt idx="101">
                  <c:v>1.34E-3</c:v>
                </c:pt>
                <c:pt idx="102">
                  <c:v>2.2200000000000002E-3</c:v>
                </c:pt>
                <c:pt idx="103">
                  <c:v>3.2399999999999998E-3</c:v>
                </c:pt>
                <c:pt idx="104">
                  <c:v>5.1399999999999996E-3</c:v>
                </c:pt>
                <c:pt idx="105">
                  <c:v>7.6600000000000001E-3</c:v>
                </c:pt>
                <c:pt idx="106">
                  <c:v>8.9899999999999997E-3</c:v>
                </c:pt>
                <c:pt idx="107">
                  <c:v>9.9100000000000004E-3</c:v>
                </c:pt>
                <c:pt idx="108">
                  <c:v>1.5820000000000001E-2</c:v>
                </c:pt>
                <c:pt idx="109">
                  <c:v>2.955E-2</c:v>
                </c:pt>
                <c:pt idx="110">
                  <c:v>4.3209999999999998E-2</c:v>
                </c:pt>
                <c:pt idx="111">
                  <c:v>3.6420000000000001E-2</c:v>
                </c:pt>
                <c:pt idx="112">
                  <c:v>1.806E-2</c:v>
                </c:pt>
                <c:pt idx="113">
                  <c:v>6.3600000000000002E-3</c:v>
                </c:pt>
                <c:pt idx="114">
                  <c:v>2.3999999999999998E-3</c:v>
                </c:pt>
                <c:pt idx="115">
                  <c:v>1.09E-3</c:v>
                </c:pt>
                <c:pt idx="116">
                  <c:v>5.1999999999999995E-4</c:v>
                </c:pt>
                <c:pt idx="117">
                  <c:v>3.8000000000000002E-4</c:v>
                </c:pt>
                <c:pt idx="118">
                  <c:v>3.2000000000000003E-4</c:v>
                </c:pt>
                <c:pt idx="119">
                  <c:v>2.9999999999999997E-4</c:v>
                </c:pt>
                <c:pt idx="120">
                  <c:v>3.1E-4</c:v>
                </c:pt>
                <c:pt idx="121">
                  <c:v>4.4999999999999999E-4</c:v>
                </c:pt>
                <c:pt idx="122">
                  <c:v>4.2999999999999999E-4</c:v>
                </c:pt>
                <c:pt idx="123">
                  <c:v>2.4000000000000001E-4</c:v>
                </c:pt>
                <c:pt idx="124">
                  <c:v>6.0000000000000002E-5</c:v>
                </c:pt>
                <c:pt idx="125">
                  <c:v>3.0000000000000001E-5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2.5999999999999998E-4</c:v>
                </c:pt>
                <c:pt idx="130">
                  <c:v>3.5E-4</c:v>
                </c:pt>
                <c:pt idx="131">
                  <c:v>0</c:v>
                </c:pt>
                <c:pt idx="132">
                  <c:v>0</c:v>
                </c:pt>
                <c:pt idx="133">
                  <c:v>8.0000000000000007E-5</c:v>
                </c:pt>
                <c:pt idx="134">
                  <c:v>3.6999999999999999E-4</c:v>
                </c:pt>
                <c:pt idx="135">
                  <c:v>5.9000000000000003E-4</c:v>
                </c:pt>
                <c:pt idx="136">
                  <c:v>5.5999999999999995E-4</c:v>
                </c:pt>
                <c:pt idx="137">
                  <c:v>5.2999999999999998E-4</c:v>
                </c:pt>
                <c:pt idx="138">
                  <c:v>8.0000000000000007E-5</c:v>
                </c:pt>
                <c:pt idx="139">
                  <c:v>0</c:v>
                </c:pt>
                <c:pt idx="140">
                  <c:v>0</c:v>
                </c:pt>
                <c:pt idx="141">
                  <c:v>1.4999999999999999E-4</c:v>
                </c:pt>
                <c:pt idx="142">
                  <c:v>0</c:v>
                </c:pt>
                <c:pt idx="143">
                  <c:v>3.0000000000000001E-5</c:v>
                </c:pt>
                <c:pt idx="144">
                  <c:v>6.0000000000000002E-5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5.6999999999999998E-4</c:v>
                </c:pt>
                <c:pt idx="150">
                  <c:v>6.8000000000000005E-4</c:v>
                </c:pt>
                <c:pt idx="151">
                  <c:v>2.9999999999999997E-4</c:v>
                </c:pt>
                <c:pt idx="152">
                  <c:v>3.5E-4</c:v>
                </c:pt>
                <c:pt idx="153">
                  <c:v>8.0000000000000004E-4</c:v>
                </c:pt>
                <c:pt idx="154">
                  <c:v>5.5000000000000003E-4</c:v>
                </c:pt>
                <c:pt idx="155">
                  <c:v>1.2E-4</c:v>
                </c:pt>
                <c:pt idx="156">
                  <c:v>0</c:v>
                </c:pt>
                <c:pt idx="157">
                  <c:v>1.6000000000000001E-4</c:v>
                </c:pt>
                <c:pt idx="158">
                  <c:v>7.2000000000000005E-4</c:v>
                </c:pt>
                <c:pt idx="159">
                  <c:v>5.5999999999999995E-4</c:v>
                </c:pt>
                <c:pt idx="160">
                  <c:v>4.6999999999999999E-4</c:v>
                </c:pt>
                <c:pt idx="161">
                  <c:v>3.3E-4</c:v>
                </c:pt>
                <c:pt idx="162">
                  <c:v>2.3000000000000001E-4</c:v>
                </c:pt>
                <c:pt idx="163">
                  <c:v>6.8999999999999997E-4</c:v>
                </c:pt>
                <c:pt idx="164">
                  <c:v>9.7000000000000005E-4</c:v>
                </c:pt>
                <c:pt idx="165">
                  <c:v>8.1999999999999998E-4</c:v>
                </c:pt>
                <c:pt idx="166">
                  <c:v>1E-3</c:v>
                </c:pt>
                <c:pt idx="167">
                  <c:v>1E-3</c:v>
                </c:pt>
                <c:pt idx="168">
                  <c:v>7.6000000000000004E-4</c:v>
                </c:pt>
                <c:pt idx="169">
                  <c:v>8.4999999999999995E-4</c:v>
                </c:pt>
                <c:pt idx="170">
                  <c:v>1.0300000000000001E-3</c:v>
                </c:pt>
                <c:pt idx="171">
                  <c:v>9.6000000000000002E-4</c:v>
                </c:pt>
                <c:pt idx="172">
                  <c:v>7.2999999999999996E-4</c:v>
                </c:pt>
                <c:pt idx="173">
                  <c:v>5.1999999999999995E-4</c:v>
                </c:pt>
                <c:pt idx="174">
                  <c:v>5.0000000000000001E-4</c:v>
                </c:pt>
                <c:pt idx="175">
                  <c:v>6.8000000000000005E-4</c:v>
                </c:pt>
                <c:pt idx="176">
                  <c:v>1.7000000000000001E-4</c:v>
                </c:pt>
                <c:pt idx="177">
                  <c:v>0</c:v>
                </c:pt>
                <c:pt idx="178">
                  <c:v>3.1E-4</c:v>
                </c:pt>
                <c:pt idx="179">
                  <c:v>4.0000000000000003E-5</c:v>
                </c:pt>
              </c:numCache>
            </c:numRef>
          </c:yVal>
          <c:smooth val="1"/>
        </c:ser>
        <c:ser>
          <c:idx val="7"/>
          <c:order val="3"/>
          <c:tx>
            <c:v>K1887</c:v>
          </c:tx>
          <c:marker>
            <c:symbol val="none"/>
          </c:marker>
          <c:xVal>
            <c:numRef>
              <c:f>'K1887'!$A$3:$A$182</c:f>
              <c:numCache>
                <c:formatCode>General</c:formatCode>
                <c:ptCount val="180"/>
                <c:pt idx="0">
                  <c:v>60.441964495999997</c:v>
                </c:pt>
                <c:pt idx="1">
                  <c:v>61.953006113600004</c:v>
                </c:pt>
                <c:pt idx="2">
                  <c:v>63.464047731199997</c:v>
                </c:pt>
                <c:pt idx="3">
                  <c:v>64.975089348799997</c:v>
                </c:pt>
                <c:pt idx="4">
                  <c:v>66.486130966399998</c:v>
                </c:pt>
                <c:pt idx="5">
                  <c:v>67.997172583999998</c:v>
                </c:pt>
                <c:pt idx="6">
                  <c:v>69.508214201599998</c:v>
                </c:pt>
                <c:pt idx="7">
                  <c:v>71.019255819199998</c:v>
                </c:pt>
                <c:pt idx="8">
                  <c:v>72.530297436799998</c:v>
                </c:pt>
                <c:pt idx="9">
                  <c:v>74.041339054399998</c:v>
                </c:pt>
                <c:pt idx="10">
                  <c:v>75.552380671999984</c:v>
                </c:pt>
                <c:pt idx="11">
                  <c:v>77.063422289599998</c:v>
                </c:pt>
                <c:pt idx="12">
                  <c:v>78.574463907199998</c:v>
                </c:pt>
                <c:pt idx="13">
                  <c:v>80.085505524799999</c:v>
                </c:pt>
                <c:pt idx="14">
                  <c:v>81.596547142399999</c:v>
                </c:pt>
                <c:pt idx="15">
                  <c:v>83.107588759999985</c:v>
                </c:pt>
                <c:pt idx="16">
                  <c:v>84.618630377599999</c:v>
                </c:pt>
                <c:pt idx="17">
                  <c:v>86.129671995199999</c:v>
                </c:pt>
                <c:pt idx="18">
                  <c:v>87.640713612799999</c:v>
                </c:pt>
                <c:pt idx="19">
                  <c:v>89.151755230399999</c:v>
                </c:pt>
                <c:pt idx="20">
                  <c:v>90.662796847999999</c:v>
                </c:pt>
                <c:pt idx="21">
                  <c:v>92.173838465599999</c:v>
                </c:pt>
                <c:pt idx="22">
                  <c:v>93.684880083199999</c:v>
                </c:pt>
                <c:pt idx="23">
                  <c:v>95.1959217008</c:v>
                </c:pt>
                <c:pt idx="24">
                  <c:v>96.706963318399985</c:v>
                </c:pt>
                <c:pt idx="25">
                  <c:v>98.218004936</c:v>
                </c:pt>
                <c:pt idx="26">
                  <c:v>99.7290465536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110.30633787679999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117.86154596479999</c:v>
                </c:pt>
                <c:pt idx="39">
                  <c:v>119.3725875824</c:v>
                </c:pt>
                <c:pt idx="40">
                  <c:v>120.88362919999997</c:v>
                </c:pt>
                <c:pt idx="41">
                  <c:v>122.39467081760002</c:v>
                </c:pt>
                <c:pt idx="42">
                  <c:v>123.90571243519999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128.43883728799997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135.99404537599997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143.54925346399997</c:v>
                </c:pt>
                <c:pt idx="56">
                  <c:v>145.06029508160003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151.10446155199998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155.63758640479998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163.19279449279998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170.74800258079998</c:v>
                </c:pt>
                <c:pt idx="74">
                  <c:v>172.25904419840001</c:v>
                </c:pt>
                <c:pt idx="75">
                  <c:v>173.77008581600001</c:v>
                </c:pt>
                <c:pt idx="76">
                  <c:v>175.28112743360001</c:v>
                </c:pt>
                <c:pt idx="77">
                  <c:v>176.79216905120001</c:v>
                </c:pt>
                <c:pt idx="78">
                  <c:v>178.30321066879998</c:v>
                </c:pt>
                <c:pt idx="79">
                  <c:v>179.81425228640001</c:v>
                </c:pt>
                <c:pt idx="80">
                  <c:v>181.32529390400001</c:v>
                </c:pt>
                <c:pt idx="81">
                  <c:v>182.83633552159998</c:v>
                </c:pt>
                <c:pt idx="82">
                  <c:v>184.34737713920001</c:v>
                </c:pt>
                <c:pt idx="83">
                  <c:v>185.85841875679998</c:v>
                </c:pt>
                <c:pt idx="84">
                  <c:v>187.36946037440003</c:v>
                </c:pt>
                <c:pt idx="85">
                  <c:v>188.88050199200001</c:v>
                </c:pt>
                <c:pt idx="86">
                  <c:v>190.39154360959998</c:v>
                </c:pt>
                <c:pt idx="87">
                  <c:v>191.90258522720001</c:v>
                </c:pt>
                <c:pt idx="88">
                  <c:v>193.41362684480001</c:v>
                </c:pt>
                <c:pt idx="89">
                  <c:v>194.92466846240004</c:v>
                </c:pt>
                <c:pt idx="90">
                  <c:v>196.43571008000001</c:v>
                </c:pt>
                <c:pt idx="91">
                  <c:v>197.94675169759998</c:v>
                </c:pt>
                <c:pt idx="92">
                  <c:v>199.45779331520001</c:v>
                </c:pt>
                <c:pt idx="93">
                  <c:v>200.96883493280001</c:v>
                </c:pt>
                <c:pt idx="94">
                  <c:v>202.47987655039998</c:v>
                </c:pt>
                <c:pt idx="95">
                  <c:v>203.99091816800001</c:v>
                </c:pt>
                <c:pt idx="96">
                  <c:v>205.50195978559998</c:v>
                </c:pt>
                <c:pt idx="97">
                  <c:v>207.01300140320001</c:v>
                </c:pt>
                <c:pt idx="98">
                  <c:v>208.52404302080001</c:v>
                </c:pt>
                <c:pt idx="99">
                  <c:v>210.03508463839998</c:v>
                </c:pt>
                <c:pt idx="100">
                  <c:v>211.54612625600001</c:v>
                </c:pt>
                <c:pt idx="101">
                  <c:v>213.05716787359998</c:v>
                </c:pt>
                <c:pt idx="102">
                  <c:v>214.56820949120001</c:v>
                </c:pt>
                <c:pt idx="103">
                  <c:v>216.07925110880001</c:v>
                </c:pt>
                <c:pt idx="104">
                  <c:v>217.59029272639998</c:v>
                </c:pt>
                <c:pt idx="105">
                  <c:v>219.10133434400001</c:v>
                </c:pt>
                <c:pt idx="106">
                  <c:v>220.61237596159998</c:v>
                </c:pt>
                <c:pt idx="107">
                  <c:v>222.12341757920004</c:v>
                </c:pt>
                <c:pt idx="108">
                  <c:v>223.63445919680001</c:v>
                </c:pt>
                <c:pt idx="109">
                  <c:v>225.14550081439998</c:v>
                </c:pt>
                <c:pt idx="110">
                  <c:v>226.65654243200001</c:v>
                </c:pt>
                <c:pt idx="111">
                  <c:v>228.16758404960001</c:v>
                </c:pt>
                <c:pt idx="112">
                  <c:v>229.67862566720004</c:v>
                </c:pt>
                <c:pt idx="113">
                  <c:v>231.18966728480001</c:v>
                </c:pt>
                <c:pt idx="114">
                  <c:v>232.70070890239998</c:v>
                </c:pt>
                <c:pt idx="115">
                  <c:v>234.21175052000001</c:v>
                </c:pt>
                <c:pt idx="116">
                  <c:v>235.72279213760001</c:v>
                </c:pt>
                <c:pt idx="117">
                  <c:v>237.23383375519998</c:v>
                </c:pt>
                <c:pt idx="118">
                  <c:v>238.74487537280001</c:v>
                </c:pt>
                <c:pt idx="119">
                  <c:v>240.25591699039998</c:v>
                </c:pt>
                <c:pt idx="120">
                  <c:v>241.76695860800001</c:v>
                </c:pt>
                <c:pt idx="121">
                  <c:v>243.27800022560001</c:v>
                </c:pt>
                <c:pt idx="122">
                  <c:v>244.78904184319998</c:v>
                </c:pt>
                <c:pt idx="123">
                  <c:v>246.30008346080001</c:v>
                </c:pt>
                <c:pt idx="124">
                  <c:v>247.81112507839998</c:v>
                </c:pt>
                <c:pt idx="125">
                  <c:v>249.32216669600001</c:v>
                </c:pt>
                <c:pt idx="126">
                  <c:v>250.83320831360001</c:v>
                </c:pt>
                <c:pt idx="127">
                  <c:v>252.34424993119998</c:v>
                </c:pt>
                <c:pt idx="128">
                  <c:v>253.85529154880001</c:v>
                </c:pt>
                <c:pt idx="129">
                  <c:v>255.36633316639998</c:v>
                </c:pt>
                <c:pt idx="130">
                  <c:v>256.87737478400004</c:v>
                </c:pt>
                <c:pt idx="131">
                  <c:v>258.38841640160001</c:v>
                </c:pt>
                <c:pt idx="132">
                  <c:v>259.89945801919998</c:v>
                </c:pt>
                <c:pt idx="133">
                  <c:v>261.41049963680001</c:v>
                </c:pt>
                <c:pt idx="134">
                  <c:v>262.92154125439998</c:v>
                </c:pt>
                <c:pt idx="135">
                  <c:v>264.43258287199995</c:v>
                </c:pt>
                <c:pt idx="136">
                  <c:v>265.94362448959998</c:v>
                </c:pt>
                <c:pt idx="137">
                  <c:v>267.45466610720001</c:v>
                </c:pt>
                <c:pt idx="138">
                  <c:v>268.96570772480004</c:v>
                </c:pt>
                <c:pt idx="139">
                  <c:v>270.47674934240001</c:v>
                </c:pt>
                <c:pt idx="140">
                  <c:v>271.98779095999998</c:v>
                </c:pt>
                <c:pt idx="141">
                  <c:v>273.49883257760001</c:v>
                </c:pt>
                <c:pt idx="142">
                  <c:v>275.00987419519998</c:v>
                </c:pt>
                <c:pt idx="143">
                  <c:v>276.52091581280001</c:v>
                </c:pt>
                <c:pt idx="144">
                  <c:v>278.03195743039998</c:v>
                </c:pt>
                <c:pt idx="145">
                  <c:v>279.54299904799996</c:v>
                </c:pt>
                <c:pt idx="146">
                  <c:v>281.05404066560004</c:v>
                </c:pt>
                <c:pt idx="147">
                  <c:v>282.56508228320001</c:v>
                </c:pt>
                <c:pt idx="148">
                  <c:v>284.07612390080004</c:v>
                </c:pt>
                <c:pt idx="149">
                  <c:v>285.58716551840001</c:v>
                </c:pt>
                <c:pt idx="150">
                  <c:v>287.09820713599998</c:v>
                </c:pt>
                <c:pt idx="151">
                  <c:v>288.60924875360001</c:v>
                </c:pt>
                <c:pt idx="152">
                  <c:v>290.12029037119999</c:v>
                </c:pt>
                <c:pt idx="153">
                  <c:v>291.63133198880001</c:v>
                </c:pt>
                <c:pt idx="154">
                  <c:v>293.14237360639999</c:v>
                </c:pt>
                <c:pt idx="155">
                  <c:v>294.65341522400001</c:v>
                </c:pt>
                <c:pt idx="156">
                  <c:v>296.16445684160004</c:v>
                </c:pt>
                <c:pt idx="157">
                  <c:v>297.67549845920001</c:v>
                </c:pt>
                <c:pt idx="158">
                  <c:v>299.18654007679999</c:v>
                </c:pt>
                <c:pt idx="159">
                  <c:v>300.69758169440001</c:v>
                </c:pt>
                <c:pt idx="160">
                  <c:v>302.20862331199999</c:v>
                </c:pt>
                <c:pt idx="161">
                  <c:v>303.71966492960001</c:v>
                </c:pt>
                <c:pt idx="162">
                  <c:v>305.23070654719999</c:v>
                </c:pt>
                <c:pt idx="163">
                  <c:v>306.74174816480001</c:v>
                </c:pt>
                <c:pt idx="164">
                  <c:v>308.25278978239999</c:v>
                </c:pt>
                <c:pt idx="165">
                  <c:v>309.76383140000002</c:v>
                </c:pt>
                <c:pt idx="166">
                  <c:v>311.27487301760004</c:v>
                </c:pt>
                <c:pt idx="167">
                  <c:v>312.78591463520002</c:v>
                </c:pt>
                <c:pt idx="168">
                  <c:v>314.29695625280004</c:v>
                </c:pt>
                <c:pt idx="169">
                  <c:v>315.80799787040002</c:v>
                </c:pt>
                <c:pt idx="170">
                  <c:v>317.31903948799999</c:v>
                </c:pt>
                <c:pt idx="171">
                  <c:v>318.83008110560002</c:v>
                </c:pt>
                <c:pt idx="172">
                  <c:v>320.34112272319999</c:v>
                </c:pt>
                <c:pt idx="173">
                  <c:v>321.85216434080002</c:v>
                </c:pt>
                <c:pt idx="174">
                  <c:v>323.36320595840004</c:v>
                </c:pt>
                <c:pt idx="175">
                  <c:v>324.87424757600002</c:v>
                </c:pt>
                <c:pt idx="176">
                  <c:v>326.38528919360004</c:v>
                </c:pt>
                <c:pt idx="177">
                  <c:v>327.89633081120002</c:v>
                </c:pt>
                <c:pt idx="178">
                  <c:v>329.40737242880004</c:v>
                </c:pt>
                <c:pt idx="179">
                  <c:v>330.91841404640002</c:v>
                </c:pt>
              </c:numCache>
            </c:numRef>
          </c:xVal>
          <c:yVal>
            <c:numRef>
              <c:f>'K1887'!$B$3:$B$182</c:f>
              <c:numCache>
                <c:formatCode>General</c:formatCode>
                <c:ptCount val="180"/>
                <c:pt idx="0">
                  <c:v>0.99573999999999996</c:v>
                </c:pt>
                <c:pt idx="1">
                  <c:v>0.98734</c:v>
                </c:pt>
                <c:pt idx="2">
                  <c:v>0.98375999999999997</c:v>
                </c:pt>
                <c:pt idx="3">
                  <c:v>0.87300999999999995</c:v>
                </c:pt>
                <c:pt idx="4">
                  <c:v>0.82752999999999999</c:v>
                </c:pt>
                <c:pt idx="5">
                  <c:v>0.88646000000000003</c:v>
                </c:pt>
                <c:pt idx="6">
                  <c:v>0.86592999999999998</c:v>
                </c:pt>
                <c:pt idx="7">
                  <c:v>0.96653999999999995</c:v>
                </c:pt>
                <c:pt idx="8">
                  <c:v>0.98680999999999996</c:v>
                </c:pt>
                <c:pt idx="9">
                  <c:v>0.97257000000000005</c:v>
                </c:pt>
                <c:pt idx="10">
                  <c:v>0.95733000000000001</c:v>
                </c:pt>
                <c:pt idx="11">
                  <c:v>0.95399</c:v>
                </c:pt>
                <c:pt idx="12">
                  <c:v>0.92984</c:v>
                </c:pt>
                <c:pt idx="13">
                  <c:v>0.95382</c:v>
                </c:pt>
                <c:pt idx="14">
                  <c:v>0.94491999999999998</c:v>
                </c:pt>
                <c:pt idx="15">
                  <c:v>0.92496</c:v>
                </c:pt>
                <c:pt idx="16">
                  <c:v>0.90063000000000004</c:v>
                </c:pt>
                <c:pt idx="17">
                  <c:v>0.88400000000000001</c:v>
                </c:pt>
                <c:pt idx="18">
                  <c:v>0.89690999999999999</c:v>
                </c:pt>
                <c:pt idx="19">
                  <c:v>0.90244999999999997</c:v>
                </c:pt>
                <c:pt idx="20">
                  <c:v>0.90981000000000001</c:v>
                </c:pt>
                <c:pt idx="21">
                  <c:v>0.89451999999999998</c:v>
                </c:pt>
                <c:pt idx="22">
                  <c:v>0.90510999999999997</c:v>
                </c:pt>
                <c:pt idx="23">
                  <c:v>0.89158000000000004</c:v>
                </c:pt>
                <c:pt idx="24">
                  <c:v>0.88168999999999997</c:v>
                </c:pt>
                <c:pt idx="25">
                  <c:v>0.85897999999999997</c:v>
                </c:pt>
                <c:pt idx="26">
                  <c:v>0.80225000000000002</c:v>
                </c:pt>
                <c:pt idx="27">
                  <c:v>0.75261999999999996</c:v>
                </c:pt>
                <c:pt idx="28">
                  <c:v>0.72751999999999994</c:v>
                </c:pt>
                <c:pt idx="29">
                  <c:v>0.63338000000000005</c:v>
                </c:pt>
                <c:pt idx="30">
                  <c:v>0.43734000000000001</c:v>
                </c:pt>
                <c:pt idx="31">
                  <c:v>0.25596000000000002</c:v>
                </c:pt>
                <c:pt idx="32">
                  <c:v>0.12797</c:v>
                </c:pt>
                <c:pt idx="33">
                  <c:v>6.3560000000000005E-2</c:v>
                </c:pt>
                <c:pt idx="34">
                  <c:v>2.6780000000000002E-2</c:v>
                </c:pt>
                <c:pt idx="35">
                  <c:v>9.1000000000000004E-3</c:v>
                </c:pt>
                <c:pt idx="36">
                  <c:v>2.5999999999999999E-3</c:v>
                </c:pt>
                <c:pt idx="37">
                  <c:v>5.7200000000000003E-3</c:v>
                </c:pt>
                <c:pt idx="38">
                  <c:v>7.5700000000000003E-3</c:v>
                </c:pt>
                <c:pt idx="39">
                  <c:v>6.62E-3</c:v>
                </c:pt>
                <c:pt idx="40">
                  <c:v>8.0999999999999996E-3</c:v>
                </c:pt>
                <c:pt idx="41">
                  <c:v>7.8200000000000006E-3</c:v>
                </c:pt>
                <c:pt idx="42">
                  <c:v>4.0200000000000001E-3</c:v>
                </c:pt>
                <c:pt idx="43">
                  <c:v>4.8399999999999997E-3</c:v>
                </c:pt>
                <c:pt idx="44">
                  <c:v>4.4600000000000004E-3</c:v>
                </c:pt>
                <c:pt idx="45">
                  <c:v>3.4299999999999999E-3</c:v>
                </c:pt>
                <c:pt idx="46">
                  <c:v>4.0000000000000003E-5</c:v>
                </c:pt>
                <c:pt idx="47">
                  <c:v>1.31E-3</c:v>
                </c:pt>
                <c:pt idx="48">
                  <c:v>1.5299999999999999E-3</c:v>
                </c:pt>
                <c:pt idx="49">
                  <c:v>1.1299999999999999E-3</c:v>
                </c:pt>
                <c:pt idx="50">
                  <c:v>2.1800000000000001E-3</c:v>
                </c:pt>
                <c:pt idx="51">
                  <c:v>5.2999999999999998E-4</c:v>
                </c:pt>
                <c:pt idx="52">
                  <c:v>2.3000000000000001E-4</c:v>
                </c:pt>
                <c:pt idx="53">
                  <c:v>2.7E-4</c:v>
                </c:pt>
                <c:pt idx="54">
                  <c:v>1.5100000000000001E-3</c:v>
                </c:pt>
                <c:pt idx="55">
                  <c:v>3.14E-3</c:v>
                </c:pt>
                <c:pt idx="56">
                  <c:v>2.9499999999999999E-3</c:v>
                </c:pt>
                <c:pt idx="57">
                  <c:v>1.97E-3</c:v>
                </c:pt>
                <c:pt idx="58">
                  <c:v>7.6000000000000004E-4</c:v>
                </c:pt>
                <c:pt idx="59">
                  <c:v>0</c:v>
                </c:pt>
                <c:pt idx="60">
                  <c:v>6.9999999999999999E-4</c:v>
                </c:pt>
                <c:pt idx="61">
                  <c:v>1.39E-3</c:v>
                </c:pt>
                <c:pt idx="62">
                  <c:v>1.56E-3</c:v>
                </c:pt>
                <c:pt idx="63">
                  <c:v>2.16E-3</c:v>
                </c:pt>
                <c:pt idx="64">
                  <c:v>1.5E-3</c:v>
                </c:pt>
                <c:pt idx="65">
                  <c:v>9.0000000000000006E-5</c:v>
                </c:pt>
                <c:pt idx="66">
                  <c:v>0</c:v>
                </c:pt>
                <c:pt idx="67">
                  <c:v>0</c:v>
                </c:pt>
                <c:pt idx="68">
                  <c:v>4.2999999999999999E-4</c:v>
                </c:pt>
                <c:pt idx="69">
                  <c:v>0</c:v>
                </c:pt>
                <c:pt idx="70">
                  <c:v>2.7E-4</c:v>
                </c:pt>
                <c:pt idx="71">
                  <c:v>1.2899999999999999E-3</c:v>
                </c:pt>
                <c:pt idx="72">
                  <c:v>9.0000000000000006E-5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3.5E-4</c:v>
                </c:pt>
                <c:pt idx="78">
                  <c:v>1.14E-3</c:v>
                </c:pt>
                <c:pt idx="79">
                  <c:v>1E-3</c:v>
                </c:pt>
                <c:pt idx="80">
                  <c:v>0</c:v>
                </c:pt>
                <c:pt idx="81">
                  <c:v>0</c:v>
                </c:pt>
                <c:pt idx="82">
                  <c:v>4.0000000000000003E-5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7.6000000000000004E-4</c:v>
                </c:pt>
                <c:pt idx="93">
                  <c:v>0</c:v>
                </c:pt>
                <c:pt idx="94">
                  <c:v>0</c:v>
                </c:pt>
                <c:pt idx="95">
                  <c:v>3.6999999999999999E-4</c:v>
                </c:pt>
                <c:pt idx="96">
                  <c:v>6.2E-4</c:v>
                </c:pt>
                <c:pt idx="97">
                  <c:v>4.6000000000000001E-4</c:v>
                </c:pt>
                <c:pt idx="98">
                  <c:v>1.66E-3</c:v>
                </c:pt>
                <c:pt idx="99">
                  <c:v>3.8400000000000001E-3</c:v>
                </c:pt>
                <c:pt idx="100">
                  <c:v>5.2500000000000003E-3</c:v>
                </c:pt>
                <c:pt idx="101">
                  <c:v>6.6600000000000001E-3</c:v>
                </c:pt>
                <c:pt idx="102">
                  <c:v>7.6499999999999997E-3</c:v>
                </c:pt>
                <c:pt idx="103">
                  <c:v>6.7499999999999999E-3</c:v>
                </c:pt>
                <c:pt idx="104">
                  <c:v>3.98E-3</c:v>
                </c:pt>
                <c:pt idx="105">
                  <c:v>1.3799999999999999E-3</c:v>
                </c:pt>
                <c:pt idx="106">
                  <c:v>4.4999999999999999E-4</c:v>
                </c:pt>
                <c:pt idx="107">
                  <c:v>3.0000000000000001E-5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9.0000000000000006E-5</c:v>
                </c:pt>
                <c:pt idx="118">
                  <c:v>8.0000000000000007E-5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4.0000000000000003E-5</c:v>
                </c:pt>
                <c:pt idx="123">
                  <c:v>3.4000000000000002E-4</c:v>
                </c:pt>
                <c:pt idx="124">
                  <c:v>1.8000000000000001E-4</c:v>
                </c:pt>
                <c:pt idx="125">
                  <c:v>1.2E-4</c:v>
                </c:pt>
                <c:pt idx="126">
                  <c:v>1.7000000000000001E-4</c:v>
                </c:pt>
                <c:pt idx="127">
                  <c:v>0</c:v>
                </c:pt>
                <c:pt idx="128">
                  <c:v>0</c:v>
                </c:pt>
                <c:pt idx="129">
                  <c:v>6.9999999999999994E-5</c:v>
                </c:pt>
                <c:pt idx="130">
                  <c:v>3.5E-4</c:v>
                </c:pt>
                <c:pt idx="131">
                  <c:v>4.0999999999999999E-4</c:v>
                </c:pt>
                <c:pt idx="132">
                  <c:v>1.4999999999999999E-4</c:v>
                </c:pt>
                <c:pt idx="133">
                  <c:v>2.7999999999999998E-4</c:v>
                </c:pt>
                <c:pt idx="134">
                  <c:v>2.4000000000000001E-4</c:v>
                </c:pt>
                <c:pt idx="135">
                  <c:v>2.4000000000000001E-4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4.4999999999999999E-4</c:v>
                </c:pt>
                <c:pt idx="140">
                  <c:v>3.8999999999999999E-4</c:v>
                </c:pt>
                <c:pt idx="141">
                  <c:v>0</c:v>
                </c:pt>
                <c:pt idx="142">
                  <c:v>2.7999999999999998E-4</c:v>
                </c:pt>
                <c:pt idx="143">
                  <c:v>3.2000000000000003E-4</c:v>
                </c:pt>
                <c:pt idx="144">
                  <c:v>0</c:v>
                </c:pt>
                <c:pt idx="145">
                  <c:v>2.3000000000000001E-4</c:v>
                </c:pt>
                <c:pt idx="146">
                  <c:v>6.3000000000000003E-4</c:v>
                </c:pt>
                <c:pt idx="147">
                  <c:v>6.9999999999999999E-4</c:v>
                </c:pt>
                <c:pt idx="148">
                  <c:v>3.1E-4</c:v>
                </c:pt>
                <c:pt idx="149">
                  <c:v>1.2E-4</c:v>
                </c:pt>
                <c:pt idx="150">
                  <c:v>1.2999999999999999E-4</c:v>
                </c:pt>
                <c:pt idx="151">
                  <c:v>3.6999999999999999E-4</c:v>
                </c:pt>
                <c:pt idx="152">
                  <c:v>5.5000000000000003E-4</c:v>
                </c:pt>
                <c:pt idx="153">
                  <c:v>3.1E-4</c:v>
                </c:pt>
                <c:pt idx="154">
                  <c:v>0</c:v>
                </c:pt>
                <c:pt idx="155">
                  <c:v>2.0000000000000002E-5</c:v>
                </c:pt>
                <c:pt idx="156">
                  <c:v>3.8999999999999999E-4</c:v>
                </c:pt>
                <c:pt idx="157">
                  <c:v>4.6000000000000001E-4</c:v>
                </c:pt>
                <c:pt idx="158">
                  <c:v>5.5999999999999995E-4</c:v>
                </c:pt>
                <c:pt idx="159">
                  <c:v>5.6999999999999998E-4</c:v>
                </c:pt>
                <c:pt idx="160">
                  <c:v>5.5999999999999995E-4</c:v>
                </c:pt>
                <c:pt idx="161">
                  <c:v>6.2E-4</c:v>
                </c:pt>
                <c:pt idx="162">
                  <c:v>5.1000000000000004E-4</c:v>
                </c:pt>
                <c:pt idx="163">
                  <c:v>3.8000000000000002E-4</c:v>
                </c:pt>
                <c:pt idx="164">
                  <c:v>5.6999999999999998E-4</c:v>
                </c:pt>
                <c:pt idx="165">
                  <c:v>5.4000000000000001E-4</c:v>
                </c:pt>
                <c:pt idx="166">
                  <c:v>3.8000000000000002E-4</c:v>
                </c:pt>
                <c:pt idx="167">
                  <c:v>6.9999999999999994E-5</c:v>
                </c:pt>
                <c:pt idx="168">
                  <c:v>0</c:v>
                </c:pt>
                <c:pt idx="169">
                  <c:v>2.4000000000000001E-4</c:v>
                </c:pt>
                <c:pt idx="170">
                  <c:v>2.7E-4</c:v>
                </c:pt>
                <c:pt idx="171">
                  <c:v>1.7000000000000001E-4</c:v>
                </c:pt>
                <c:pt idx="172">
                  <c:v>3.4000000000000002E-4</c:v>
                </c:pt>
                <c:pt idx="173">
                  <c:v>5.1000000000000004E-4</c:v>
                </c:pt>
                <c:pt idx="174">
                  <c:v>6.4000000000000005E-4</c:v>
                </c:pt>
                <c:pt idx="175">
                  <c:v>5.9000000000000003E-4</c:v>
                </c:pt>
                <c:pt idx="176">
                  <c:v>3.6999999999999999E-4</c:v>
                </c:pt>
                <c:pt idx="177">
                  <c:v>1.7000000000000001E-4</c:v>
                </c:pt>
                <c:pt idx="178">
                  <c:v>5.0000000000000002E-5</c:v>
                </c:pt>
                <c:pt idx="179">
                  <c:v>0</c:v>
                </c:pt>
              </c:numCache>
            </c:numRef>
          </c:yVal>
          <c:smooth val="1"/>
        </c:ser>
        <c:ser>
          <c:idx val="3"/>
          <c:order val="4"/>
          <c:tx>
            <c:strRef>
              <c:f>Data!$K$59</c:f>
              <c:strCache>
                <c:ptCount val="1"/>
                <c:pt idx="0">
                  <c:v>40K (K1860)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261.45551599999999</c:v>
                </c:pt>
                <c:pt idx="1">
                  <c:v>293.78926000000001</c:v>
                </c:pt>
                <c:pt idx="2">
                  <c:v>322.35112099999998</c:v>
                </c:pt>
                <c:pt idx="3">
                  <c:v>347.31827199999998</c:v>
                </c:pt>
                <c:pt idx="4">
                  <c:v>379.52146800000003</c:v>
                </c:pt>
                <c:pt idx="5">
                  <c:v>408.232527</c:v>
                </c:pt>
                <c:pt idx="6">
                  <c:v>436.96689700000002</c:v>
                </c:pt>
                <c:pt idx="7">
                  <c:v>465.677955</c:v>
                </c:pt>
                <c:pt idx="8">
                  <c:v>501.50849799999997</c:v>
                </c:pt>
                <c:pt idx="9">
                  <c:v>530.18225700000005</c:v>
                </c:pt>
                <c:pt idx="10">
                  <c:v>551.68990799999995</c:v>
                </c:pt>
                <c:pt idx="11">
                  <c:v>587.52045099999998</c:v>
                </c:pt>
                <c:pt idx="12">
                  <c:v>644.82134499999995</c:v>
                </c:pt>
                <c:pt idx="13">
                  <c:v>673.49044200000003</c:v>
                </c:pt>
                <c:pt idx="14">
                  <c:v>702.16420100000005</c:v>
                </c:pt>
                <c:pt idx="15">
                  <c:v>730.83329800000001</c:v>
                </c:pt>
                <c:pt idx="16">
                  <c:v>788.13885500000004</c:v>
                </c:pt>
                <c:pt idx="17">
                  <c:v>823.96007299999997</c:v>
                </c:pt>
                <c:pt idx="18">
                  <c:v>849.05310899999995</c:v>
                </c:pt>
                <c:pt idx="19">
                  <c:v>877.72220600000003</c:v>
                </c:pt>
                <c:pt idx="20">
                  <c:v>942.20319600000005</c:v>
                </c:pt>
                <c:pt idx="21">
                  <c:v>970.86296800000002</c:v>
                </c:pt>
                <c:pt idx="22">
                  <c:v>992.36595599999998</c:v>
                </c:pt>
                <c:pt idx="23">
                  <c:v>1024.6251010000001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1196.6070440000001</c:v>
                </c:pt>
                <c:pt idx="27">
                  <c:v>1232.404951</c:v>
                </c:pt>
                <c:pt idx="28">
                  <c:v>1289.6592209999999</c:v>
                </c:pt>
                <c:pt idx="29">
                  <c:v>1318.3283180000001</c:v>
                </c:pt>
                <c:pt idx="30">
                  <c:v>1375.6991479999999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1762.5524519999999</c:v>
                </c:pt>
                <c:pt idx="36">
                  <c:v>1816.2959350000001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2081.3207309999998</c:v>
                </c:pt>
                <c:pt idx="42">
                  <c:v>2163.7426359999999</c:v>
                </c:pt>
                <c:pt idx="43">
                  <c:v>2231.72975</c:v>
                </c:pt>
                <c:pt idx="44">
                  <c:v>2256.7994739999999</c:v>
                </c:pt>
                <c:pt idx="45">
                  <c:v>2339.2446909999999</c:v>
                </c:pt>
                <c:pt idx="46">
                  <c:v>2400.0890089999998</c:v>
                </c:pt>
                <c:pt idx="47">
                  <c:v>2464.5700000000002</c:v>
                </c:pt>
                <c:pt idx="48">
                  <c:v>2518.243547</c:v>
                </c:pt>
                <c:pt idx="49">
                  <c:v>2553.9761789999998</c:v>
                </c:pt>
                <c:pt idx="50">
                  <c:v>2639.9181960000001</c:v>
                </c:pt>
                <c:pt idx="51">
                  <c:v>2664.950621</c:v>
                </c:pt>
                <c:pt idx="52">
                  <c:v>2693.5497820000001</c:v>
                </c:pt>
              </c:numCache>
            </c:numRef>
          </c:xVal>
          <c:yVal>
            <c:numRef>
              <c:f>Data!$K$64:$K$116</c:f>
              <c:numCache>
                <c:formatCode>General</c:formatCode>
                <c:ptCount val="53"/>
                <c:pt idx="0">
                  <c:v>0.79660343551585322</c:v>
                </c:pt>
                <c:pt idx="1">
                  <c:v>0.76983581135352008</c:v>
                </c:pt>
                <c:pt idx="2">
                  <c:v>0.79072941520803275</c:v>
                </c:pt>
                <c:pt idx="3">
                  <c:v>0.81581925658149801</c:v>
                </c:pt>
                <c:pt idx="4">
                  <c:v>0.82192114485577861</c:v>
                </c:pt>
                <c:pt idx="5">
                  <c:v>0.80500157751462253</c:v>
                </c:pt>
                <c:pt idx="6">
                  <c:v>0.78259079098541318</c:v>
                </c:pt>
                <c:pt idx="7">
                  <c:v>0.7664808543187156</c:v>
                </c:pt>
                <c:pt idx="8">
                  <c:v>0.76081865655946668</c:v>
                </c:pt>
                <c:pt idx="9">
                  <c:v>0.75407324767118122</c:v>
                </c:pt>
                <c:pt idx="10">
                  <c:v>0.74849682211710289</c:v>
                </c:pt>
                <c:pt idx="11">
                  <c:v>0.7429673413090131</c:v>
                </c:pt>
                <c:pt idx="12">
                  <c:v>0.74078420866077133</c:v>
                </c:pt>
                <c:pt idx="13">
                  <c:v>0.73530888043346232</c:v>
                </c:pt>
                <c:pt idx="14">
                  <c:v>0.72878964090779019</c:v>
                </c:pt>
                <c:pt idx="15">
                  <c:v>0.72340309993778451</c:v>
                </c:pt>
                <c:pt idx="16">
                  <c:v>0.72020584592123604</c:v>
                </c:pt>
                <c:pt idx="17">
                  <c:v>0.71701433072363707</c:v>
                </c:pt>
                <c:pt idx="18">
                  <c:v>0.71065599080270192</c:v>
                </c:pt>
                <c:pt idx="19">
                  <c:v>0.70540334804809623</c:v>
                </c:pt>
                <c:pt idx="20">
                  <c:v>0.69916280394153274</c:v>
                </c:pt>
                <c:pt idx="21">
                  <c:v>0.69606186551761595</c:v>
                </c:pt>
                <c:pt idx="22">
                  <c:v>0.69194246386841629</c:v>
                </c:pt>
                <c:pt idx="23">
                  <c:v>0.68479017691207145</c:v>
                </c:pt>
                <c:pt idx="24">
                  <c:v>0.68278723202010672</c:v>
                </c:pt>
                <c:pt idx="25">
                  <c:v>0.67673637153439647</c:v>
                </c:pt>
                <c:pt idx="26">
                  <c:v>0.66182970943442709</c:v>
                </c:pt>
                <c:pt idx="27">
                  <c:v>0.6638135424123911</c:v>
                </c:pt>
                <c:pt idx="28">
                  <c:v>0.67177731238302674</c:v>
                </c:pt>
                <c:pt idx="29">
                  <c:v>0.66681203202478845</c:v>
                </c:pt>
                <c:pt idx="30">
                  <c:v>0.65018898980950024</c:v>
                </c:pt>
                <c:pt idx="31">
                  <c:v>0.63871096315897802</c:v>
                </c:pt>
                <c:pt idx="32">
                  <c:v>0.64158749735875142</c:v>
                </c:pt>
                <c:pt idx="33">
                  <c:v>0.63781392833037531</c:v>
                </c:pt>
                <c:pt idx="34">
                  <c:v>0.62563195205410393</c:v>
                </c:pt>
                <c:pt idx="35">
                  <c:v>0.62288014874375641</c:v>
                </c:pt>
                <c:pt idx="36">
                  <c:v>0.61644882910832277</c:v>
                </c:pt>
                <c:pt idx="37">
                  <c:v>0.61099166990918585</c:v>
                </c:pt>
                <c:pt idx="38">
                  <c:v>0.60829480507660161</c:v>
                </c:pt>
                <c:pt idx="39">
                  <c:v>0.59933360556179138</c:v>
                </c:pt>
                <c:pt idx="40">
                  <c:v>0.60652380983665488</c:v>
                </c:pt>
                <c:pt idx="41">
                  <c:v>0.60653556758449856</c:v>
                </c:pt>
                <c:pt idx="42">
                  <c:v>0.59406707034201123</c:v>
                </c:pt>
                <c:pt idx="43">
                  <c:v>0.60298800949735154</c:v>
                </c:pt>
                <c:pt idx="44">
                  <c:v>0.60210029263977871</c:v>
                </c:pt>
                <c:pt idx="45">
                  <c:v>0.58535518326000302</c:v>
                </c:pt>
                <c:pt idx="46">
                  <c:v>0.59061987364184276</c:v>
                </c:pt>
                <c:pt idx="47">
                  <c:v>0.58539479300978503</c:v>
                </c:pt>
                <c:pt idx="48">
                  <c:v>0.59241668996087804</c:v>
                </c:pt>
                <c:pt idx="49">
                  <c:v>0.60669054712576842</c:v>
                </c:pt>
                <c:pt idx="50">
                  <c:v>0.60581732161381763</c:v>
                </c:pt>
                <c:pt idx="51">
                  <c:v>0.61216380868175102</c:v>
                </c:pt>
                <c:pt idx="52">
                  <c:v>0.62134332013203886</c:v>
                </c:pt>
              </c:numCache>
            </c:numRef>
          </c:yVal>
          <c:smooth val="1"/>
        </c:ser>
        <c:ser>
          <c:idx val="4"/>
          <c:order val="5"/>
          <c:tx>
            <c:strRef>
              <c:f>Data!$L$59</c:f>
              <c:strCache>
                <c:ptCount val="1"/>
                <c:pt idx="0">
                  <c:v>3K#1 K1889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261.45551599999999</c:v>
                </c:pt>
                <c:pt idx="1">
                  <c:v>293.78926000000001</c:v>
                </c:pt>
                <c:pt idx="2">
                  <c:v>322.35112099999998</c:v>
                </c:pt>
                <c:pt idx="3">
                  <c:v>347.31827199999998</c:v>
                </c:pt>
                <c:pt idx="4">
                  <c:v>379.52146800000003</c:v>
                </c:pt>
                <c:pt idx="5">
                  <c:v>408.232527</c:v>
                </c:pt>
                <c:pt idx="6">
                  <c:v>436.96689700000002</c:v>
                </c:pt>
                <c:pt idx="7">
                  <c:v>465.677955</c:v>
                </c:pt>
                <c:pt idx="8">
                  <c:v>501.50849799999997</c:v>
                </c:pt>
                <c:pt idx="9">
                  <c:v>530.18225700000005</c:v>
                </c:pt>
                <c:pt idx="10">
                  <c:v>551.68990799999995</c:v>
                </c:pt>
                <c:pt idx="11">
                  <c:v>587.52045099999998</c:v>
                </c:pt>
                <c:pt idx="12">
                  <c:v>644.82134499999995</c:v>
                </c:pt>
                <c:pt idx="13">
                  <c:v>673.49044200000003</c:v>
                </c:pt>
                <c:pt idx="14">
                  <c:v>702.16420100000005</c:v>
                </c:pt>
                <c:pt idx="15">
                  <c:v>730.83329800000001</c:v>
                </c:pt>
                <c:pt idx="16">
                  <c:v>788.13885500000004</c:v>
                </c:pt>
                <c:pt idx="17">
                  <c:v>823.96007299999997</c:v>
                </c:pt>
                <c:pt idx="18">
                  <c:v>849.05310899999995</c:v>
                </c:pt>
                <c:pt idx="19">
                  <c:v>877.72220600000003</c:v>
                </c:pt>
                <c:pt idx="20">
                  <c:v>942.20319600000005</c:v>
                </c:pt>
                <c:pt idx="21">
                  <c:v>970.86296800000002</c:v>
                </c:pt>
                <c:pt idx="22">
                  <c:v>992.36595599999998</c:v>
                </c:pt>
                <c:pt idx="23">
                  <c:v>1024.6251010000001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1196.6070440000001</c:v>
                </c:pt>
                <c:pt idx="27">
                  <c:v>1232.404951</c:v>
                </c:pt>
                <c:pt idx="28">
                  <c:v>1289.6592209999999</c:v>
                </c:pt>
                <c:pt idx="29">
                  <c:v>1318.3283180000001</c:v>
                </c:pt>
                <c:pt idx="30">
                  <c:v>1375.6991479999999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1762.5524519999999</c:v>
                </c:pt>
                <c:pt idx="36">
                  <c:v>1816.2959350000001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2081.3207309999998</c:v>
                </c:pt>
                <c:pt idx="42">
                  <c:v>2163.7426359999999</c:v>
                </c:pt>
                <c:pt idx="43">
                  <c:v>2231.72975</c:v>
                </c:pt>
                <c:pt idx="44">
                  <c:v>2256.7994739999999</c:v>
                </c:pt>
                <c:pt idx="45">
                  <c:v>2339.2446909999999</c:v>
                </c:pt>
                <c:pt idx="46">
                  <c:v>2400.0890089999998</c:v>
                </c:pt>
                <c:pt idx="47">
                  <c:v>2464.5700000000002</c:v>
                </c:pt>
                <c:pt idx="48">
                  <c:v>2518.243547</c:v>
                </c:pt>
                <c:pt idx="49">
                  <c:v>2553.9761789999998</c:v>
                </c:pt>
                <c:pt idx="50">
                  <c:v>2639.9181960000001</c:v>
                </c:pt>
                <c:pt idx="51">
                  <c:v>2664.950621</c:v>
                </c:pt>
                <c:pt idx="52">
                  <c:v>2693.5497820000001</c:v>
                </c:pt>
              </c:numCache>
            </c:numRef>
          </c:xVal>
          <c:yVal>
            <c:numRef>
              <c:f>Data!$L$64:$L$116</c:f>
              <c:numCache>
                <c:formatCode>General</c:formatCode>
                <c:ptCount val="53"/>
                <c:pt idx="0">
                  <c:v>0.66746812912289921</c:v>
                </c:pt>
                <c:pt idx="1">
                  <c:v>0.62811777573390082</c:v>
                </c:pt>
                <c:pt idx="2">
                  <c:v>0.65874337053578336</c:v>
                </c:pt>
                <c:pt idx="3">
                  <c:v>0.69635980142017506</c:v>
                </c:pt>
                <c:pt idx="4">
                  <c:v>0.70564608963874342</c:v>
                </c:pt>
                <c:pt idx="5">
                  <c:v>0.68002913912206142</c:v>
                </c:pt>
                <c:pt idx="6">
                  <c:v>0.6467380523069709</c:v>
                </c:pt>
                <c:pt idx="7">
                  <c:v>0.62325963029561293</c:v>
                </c:pt>
                <c:pt idx="8">
                  <c:v>0.61509794097330495</c:v>
                </c:pt>
                <c:pt idx="9">
                  <c:v>0.60543636664357403</c:v>
                </c:pt>
                <c:pt idx="10">
                  <c:v>0.59749972274600593</c:v>
                </c:pt>
                <c:pt idx="11">
                  <c:v>0.58967517201541542</c:v>
                </c:pt>
                <c:pt idx="12">
                  <c:v>0.5865983381169142</c:v>
                </c:pt>
                <c:pt idx="13">
                  <c:v>0.57891259379224547</c:v>
                </c:pt>
                <c:pt idx="14">
                  <c:v>0.56981939629837863</c:v>
                </c:pt>
                <c:pt idx="15">
                  <c:v>0.56235367630322064</c:v>
                </c:pt>
                <c:pt idx="16">
                  <c:v>0.55794268257302848</c:v>
                </c:pt>
                <c:pt idx="17">
                  <c:v>0.5535547695162093</c:v>
                </c:pt>
                <c:pt idx="18">
                  <c:v>0.54485810544462254</c:v>
                </c:pt>
                <c:pt idx="19">
                  <c:v>0.53771925110501795</c:v>
                </c:pt>
                <c:pt idx="20">
                  <c:v>0.52929133341765733</c:v>
                </c:pt>
                <c:pt idx="21">
                  <c:v>0.52512516218624183</c:v>
                </c:pt>
                <c:pt idx="22">
                  <c:v>0.51961295571499422</c:v>
                </c:pt>
                <c:pt idx="23">
                  <c:v>0.51010292837684357</c:v>
                </c:pt>
                <c:pt idx="24">
                  <c:v>0.50745349876173296</c:v>
                </c:pt>
                <c:pt idx="25">
                  <c:v>0.49948630873955924</c:v>
                </c:pt>
                <c:pt idx="26">
                  <c:v>0.48009444627624742</c:v>
                </c:pt>
                <c:pt idx="27">
                  <c:v>0.48265579581546075</c:v>
                </c:pt>
                <c:pt idx="28">
                  <c:v>0.49299786171546445</c:v>
                </c:pt>
                <c:pt idx="29">
                  <c:v>0.48653849203856259</c:v>
                </c:pt>
                <c:pt idx="30">
                  <c:v>0.46518529206813491</c:v>
                </c:pt>
                <c:pt idx="31">
                  <c:v>0.45068638322712484</c:v>
                </c:pt>
                <c:pt idx="32">
                  <c:v>0.45430112098516989</c:v>
                </c:pt>
                <c:pt idx="33">
                  <c:v>0.44956172761387886</c:v>
                </c:pt>
                <c:pt idx="34">
                  <c:v>0.4344104896539987</c:v>
                </c:pt>
                <c:pt idx="35">
                  <c:v>0.43101945284748711</c:v>
                </c:pt>
                <c:pt idx="36">
                  <c:v>0.42313954280042443</c:v>
                </c:pt>
                <c:pt idx="37">
                  <c:v>0.41650315159047102</c:v>
                </c:pt>
                <c:pt idx="38">
                  <c:v>0.4132404804995905</c:v>
                </c:pt>
                <c:pt idx="39">
                  <c:v>0.40247993206100902</c:v>
                </c:pt>
                <c:pt idx="40">
                  <c:v>0.41110403647846733</c:v>
                </c:pt>
                <c:pt idx="41">
                  <c:v>0.41111820448590003</c:v>
                </c:pt>
                <c:pt idx="42">
                  <c:v>0.39621393130162186</c:v>
                </c:pt>
                <c:pt idx="43">
                  <c:v>0.40685311609214175</c:v>
                </c:pt>
                <c:pt idx="44">
                  <c:v>0.40578889424614895</c:v>
                </c:pt>
                <c:pt idx="45">
                  <c:v>0.38594329406364553</c:v>
                </c:pt>
                <c:pt idx="46">
                  <c:v>0.39213584663779899</c:v>
                </c:pt>
                <c:pt idx="47">
                  <c:v>0.38598972367319384</c:v>
                </c:pt>
                <c:pt idx="48">
                  <c:v>0.39425920373923518</c:v>
                </c:pt>
                <c:pt idx="49">
                  <c:v>0.41130497375995156</c:v>
                </c:pt>
                <c:pt idx="50">
                  <c:v>0.41025311497933281</c:v>
                </c:pt>
                <c:pt idx="51">
                  <c:v>0.4179247055441252</c:v>
                </c:pt>
                <c:pt idx="52">
                  <c:v>0.42913068618606948</c:v>
                </c:pt>
              </c:numCache>
            </c:numRef>
          </c:yVal>
          <c:smooth val="1"/>
        </c:ser>
        <c:ser>
          <c:idx val="5"/>
          <c:order val="6"/>
          <c:tx>
            <c:strRef>
              <c:f>Data!$M$59</c:f>
              <c:strCache>
                <c:ptCount val="1"/>
                <c:pt idx="0">
                  <c:v>3K#2 K1888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261.45551599999999</c:v>
                </c:pt>
                <c:pt idx="1">
                  <c:v>293.78926000000001</c:v>
                </c:pt>
                <c:pt idx="2">
                  <c:v>322.35112099999998</c:v>
                </c:pt>
                <c:pt idx="3">
                  <c:v>347.31827199999998</c:v>
                </c:pt>
                <c:pt idx="4">
                  <c:v>379.52146800000003</c:v>
                </c:pt>
                <c:pt idx="5">
                  <c:v>408.232527</c:v>
                </c:pt>
                <c:pt idx="6">
                  <c:v>436.96689700000002</c:v>
                </c:pt>
                <c:pt idx="7">
                  <c:v>465.677955</c:v>
                </c:pt>
                <c:pt idx="8">
                  <c:v>501.50849799999997</c:v>
                </c:pt>
                <c:pt idx="9">
                  <c:v>530.18225700000005</c:v>
                </c:pt>
                <c:pt idx="10">
                  <c:v>551.68990799999995</c:v>
                </c:pt>
                <c:pt idx="11">
                  <c:v>587.52045099999998</c:v>
                </c:pt>
                <c:pt idx="12">
                  <c:v>644.82134499999995</c:v>
                </c:pt>
                <c:pt idx="13">
                  <c:v>673.49044200000003</c:v>
                </c:pt>
                <c:pt idx="14">
                  <c:v>702.16420100000005</c:v>
                </c:pt>
                <c:pt idx="15">
                  <c:v>730.83329800000001</c:v>
                </c:pt>
                <c:pt idx="16">
                  <c:v>788.13885500000004</c:v>
                </c:pt>
                <c:pt idx="17">
                  <c:v>823.96007299999997</c:v>
                </c:pt>
                <c:pt idx="18">
                  <c:v>849.05310899999995</c:v>
                </c:pt>
                <c:pt idx="19">
                  <c:v>877.72220600000003</c:v>
                </c:pt>
                <c:pt idx="20">
                  <c:v>942.20319600000005</c:v>
                </c:pt>
                <c:pt idx="21">
                  <c:v>970.86296800000002</c:v>
                </c:pt>
                <c:pt idx="22">
                  <c:v>992.36595599999998</c:v>
                </c:pt>
                <c:pt idx="23">
                  <c:v>1024.6251010000001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1196.6070440000001</c:v>
                </c:pt>
                <c:pt idx="27">
                  <c:v>1232.404951</c:v>
                </c:pt>
                <c:pt idx="28">
                  <c:v>1289.6592209999999</c:v>
                </c:pt>
                <c:pt idx="29">
                  <c:v>1318.3283180000001</c:v>
                </c:pt>
                <c:pt idx="30">
                  <c:v>1375.6991479999999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1762.5524519999999</c:v>
                </c:pt>
                <c:pt idx="36">
                  <c:v>1816.2959350000001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2081.3207309999998</c:v>
                </c:pt>
                <c:pt idx="42">
                  <c:v>2163.7426359999999</c:v>
                </c:pt>
                <c:pt idx="43">
                  <c:v>2231.72975</c:v>
                </c:pt>
                <c:pt idx="44">
                  <c:v>2256.7994739999999</c:v>
                </c:pt>
                <c:pt idx="45">
                  <c:v>2339.2446909999999</c:v>
                </c:pt>
                <c:pt idx="46">
                  <c:v>2400.0890089999998</c:v>
                </c:pt>
                <c:pt idx="47">
                  <c:v>2464.5700000000002</c:v>
                </c:pt>
                <c:pt idx="48">
                  <c:v>2518.243547</c:v>
                </c:pt>
                <c:pt idx="49">
                  <c:v>2553.9761789999998</c:v>
                </c:pt>
                <c:pt idx="50">
                  <c:v>2639.9181960000001</c:v>
                </c:pt>
                <c:pt idx="51">
                  <c:v>2664.950621</c:v>
                </c:pt>
                <c:pt idx="52">
                  <c:v>2693.5497820000001</c:v>
                </c:pt>
              </c:numCache>
            </c:numRef>
          </c:xVal>
          <c:yVal>
            <c:numRef>
              <c:f>Data!$M$64:$M$116</c:f>
              <c:numCache>
                <c:formatCode>General</c:formatCode>
                <c:ptCount val="53"/>
                <c:pt idx="0">
                  <c:v>0.63257600429905081</c:v>
                </c:pt>
                <c:pt idx="1">
                  <c:v>0.59049797904361556</c:v>
                </c:pt>
                <c:pt idx="2">
                  <c:v>0.62321731443511308</c:v>
                </c:pt>
                <c:pt idx="3">
                  <c:v>0.66368200529955901</c:v>
                </c:pt>
                <c:pt idx="4">
                  <c:v>0.67371682311583125</c:v>
                </c:pt>
                <c:pt idx="5">
                  <c:v>0.64607819527990451</c:v>
                </c:pt>
                <c:pt idx="6">
                  <c:v>0.61036663016831505</c:v>
                </c:pt>
                <c:pt idx="7">
                  <c:v>0.58532688712513081</c:v>
                </c:pt>
                <c:pt idx="8">
                  <c:v>0.57665151123451086</c:v>
                </c:pt>
                <c:pt idx="9">
                  <c:v>0.56640160756024938</c:v>
                </c:pt>
                <c:pt idx="10">
                  <c:v>0.55799789416823453</c:v>
                </c:pt>
                <c:pt idx="11">
                  <c:v>0.54972737030788243</c:v>
                </c:pt>
                <c:pt idx="12">
                  <c:v>0.54647914708667433</c:v>
                </c:pt>
                <c:pt idx="13">
                  <c:v>0.53837518762795311</c:v>
                </c:pt>
                <c:pt idx="14">
                  <c:v>0.52880564049889878</c:v>
                </c:pt>
                <c:pt idx="15">
                  <c:v>0.5209639604613423</c:v>
                </c:pt>
                <c:pt idx="16">
                  <c:v>0.51633731920111881</c:v>
                </c:pt>
                <c:pt idx="17">
                  <c:v>0.51173970432851623</c:v>
                </c:pt>
                <c:pt idx="18">
                  <c:v>0.50264174812838558</c:v>
                </c:pt>
                <c:pt idx="19">
                  <c:v>0.49518787112171703</c:v>
                </c:pt>
                <c:pt idx="20">
                  <c:v>0.48640496156318469</c:v>
                </c:pt>
                <c:pt idx="21">
                  <c:v>0.48207014445729418</c:v>
                </c:pt>
                <c:pt idx="22">
                  <c:v>0.47634182596574814</c:v>
                </c:pt>
                <c:pt idx="23">
                  <c:v>0.46647795069639642</c:v>
                </c:pt>
                <c:pt idx="24">
                  <c:v>0.46373426929198241</c:v>
                </c:pt>
                <c:pt idx="25">
                  <c:v>0.45549514520762929</c:v>
                </c:pt>
                <c:pt idx="26">
                  <c:v>0.43551476382635956</c:v>
                </c:pt>
                <c:pt idx="27">
                  <c:v>0.43814779912562113</c:v>
                </c:pt>
                <c:pt idx="28">
                  <c:v>0.44879810749232452</c:v>
                </c:pt>
                <c:pt idx="29">
                  <c:v>0.44214269952724861</c:v>
                </c:pt>
                <c:pt idx="30">
                  <c:v>0.42022564246681055</c:v>
                </c:pt>
                <c:pt idx="31">
                  <c:v>0.40541950157290374</c:v>
                </c:pt>
                <c:pt idx="32">
                  <c:v>0.40910499585611343</c:v>
                </c:pt>
                <c:pt idx="33">
                  <c:v>0.40427363048765907</c:v>
                </c:pt>
                <c:pt idx="34">
                  <c:v>0.38887402713876057</c:v>
                </c:pt>
                <c:pt idx="35">
                  <c:v>0.38543707506711772</c:v>
                </c:pt>
                <c:pt idx="36">
                  <c:v>0.37746437322863324</c:v>
                </c:pt>
                <c:pt idx="37">
                  <c:v>0.3707650991249678</c:v>
                </c:pt>
                <c:pt idx="38">
                  <c:v>0.36747669342207206</c:v>
                </c:pt>
                <c:pt idx="39">
                  <c:v>0.35665582726567785</c:v>
                </c:pt>
                <c:pt idx="40">
                  <c:v>0.36532526380910346</c:v>
                </c:pt>
                <c:pt idx="41">
                  <c:v>0.36533952631273831</c:v>
                </c:pt>
                <c:pt idx="42">
                  <c:v>0.35037231732805874</c:v>
                </c:pt>
                <c:pt idx="43">
                  <c:v>0.36104894811302718</c:v>
                </c:pt>
                <c:pt idx="44">
                  <c:v>0.35997929455897398</c:v>
                </c:pt>
                <c:pt idx="45">
                  <c:v>0.3401015815601599</c:v>
                </c:pt>
                <c:pt idx="46">
                  <c:v>0.34628990857502179</c:v>
                </c:pt>
                <c:pt idx="47">
                  <c:v>0.34014793070073085</c:v>
                </c:pt>
                <c:pt idx="48">
                  <c:v>0.34841481717611267</c:v>
                </c:pt>
                <c:pt idx="49">
                  <c:v>0.36552754738134474</c:v>
                </c:pt>
                <c:pt idx="50">
                  <c:v>0.36446878669865695</c:v>
                </c:pt>
                <c:pt idx="51">
                  <c:v>0.37219893769581391</c:v>
                </c:pt>
                <c:pt idx="52">
                  <c:v>0.3835242890033364</c:v>
                </c:pt>
              </c:numCache>
            </c:numRef>
          </c:yVal>
          <c:smooth val="1"/>
        </c:ser>
        <c:ser>
          <c:idx val="6"/>
          <c:order val="7"/>
          <c:tx>
            <c:strRef>
              <c:f>Data!$N$59</c:f>
              <c:strCache>
                <c:ptCount val="1"/>
                <c:pt idx="0">
                  <c:v>300mK K1887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261.45551599999999</c:v>
                </c:pt>
                <c:pt idx="1">
                  <c:v>293.78926000000001</c:v>
                </c:pt>
                <c:pt idx="2">
                  <c:v>322.35112099999998</c:v>
                </c:pt>
                <c:pt idx="3">
                  <c:v>347.31827199999998</c:v>
                </c:pt>
                <c:pt idx="4">
                  <c:v>379.52146800000003</c:v>
                </c:pt>
                <c:pt idx="5">
                  <c:v>408.232527</c:v>
                </c:pt>
                <c:pt idx="6">
                  <c:v>436.96689700000002</c:v>
                </c:pt>
                <c:pt idx="7">
                  <c:v>465.677955</c:v>
                </c:pt>
                <c:pt idx="8">
                  <c:v>501.50849799999997</c:v>
                </c:pt>
                <c:pt idx="9">
                  <c:v>530.18225700000005</c:v>
                </c:pt>
                <c:pt idx="10">
                  <c:v>551.68990799999995</c:v>
                </c:pt>
                <c:pt idx="11">
                  <c:v>587.52045099999998</c:v>
                </c:pt>
                <c:pt idx="12">
                  <c:v>644.82134499999995</c:v>
                </c:pt>
                <c:pt idx="13">
                  <c:v>673.49044200000003</c:v>
                </c:pt>
                <c:pt idx="14">
                  <c:v>702.16420100000005</c:v>
                </c:pt>
                <c:pt idx="15">
                  <c:v>730.83329800000001</c:v>
                </c:pt>
                <c:pt idx="16">
                  <c:v>788.13885500000004</c:v>
                </c:pt>
                <c:pt idx="17">
                  <c:v>823.96007299999997</c:v>
                </c:pt>
                <c:pt idx="18">
                  <c:v>849.05310899999995</c:v>
                </c:pt>
                <c:pt idx="19">
                  <c:v>877.72220600000003</c:v>
                </c:pt>
                <c:pt idx="20">
                  <c:v>942.20319600000005</c:v>
                </c:pt>
                <c:pt idx="21">
                  <c:v>970.86296800000002</c:v>
                </c:pt>
                <c:pt idx="22">
                  <c:v>992.36595599999998</c:v>
                </c:pt>
                <c:pt idx="23">
                  <c:v>1024.6251010000001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1196.6070440000001</c:v>
                </c:pt>
                <c:pt idx="27">
                  <c:v>1232.404951</c:v>
                </c:pt>
                <c:pt idx="28">
                  <c:v>1289.6592209999999</c:v>
                </c:pt>
                <c:pt idx="29">
                  <c:v>1318.3283180000001</c:v>
                </c:pt>
                <c:pt idx="30">
                  <c:v>1375.6991479999999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1762.5524519999999</c:v>
                </c:pt>
                <c:pt idx="36">
                  <c:v>1816.2959350000001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2081.3207309999998</c:v>
                </c:pt>
                <c:pt idx="42">
                  <c:v>2163.7426359999999</c:v>
                </c:pt>
                <c:pt idx="43">
                  <c:v>2231.72975</c:v>
                </c:pt>
                <c:pt idx="44">
                  <c:v>2256.7994739999999</c:v>
                </c:pt>
                <c:pt idx="45">
                  <c:v>2339.2446909999999</c:v>
                </c:pt>
                <c:pt idx="46">
                  <c:v>2400.0890089999998</c:v>
                </c:pt>
                <c:pt idx="47">
                  <c:v>2464.5700000000002</c:v>
                </c:pt>
                <c:pt idx="48">
                  <c:v>2518.243547</c:v>
                </c:pt>
                <c:pt idx="49">
                  <c:v>2553.9761789999998</c:v>
                </c:pt>
                <c:pt idx="50">
                  <c:v>2639.9181960000001</c:v>
                </c:pt>
                <c:pt idx="51">
                  <c:v>2664.950621</c:v>
                </c:pt>
                <c:pt idx="52">
                  <c:v>2693.5497820000001</c:v>
                </c:pt>
              </c:numCache>
            </c:numRef>
          </c:xVal>
          <c:yVal>
            <c:numRef>
              <c:f>Data!$N$64:$N$116</c:f>
              <c:numCache>
                <c:formatCode>General</c:formatCode>
                <c:ptCount val="53"/>
                <c:pt idx="0">
                  <c:v>0.61290949462416877</c:v>
                </c:pt>
                <c:pt idx="1">
                  <c:v>0.56943004116245888</c:v>
                </c:pt>
                <c:pt idx="2">
                  <c:v>0.60322136933471004</c:v>
                </c:pt>
                <c:pt idx="3">
                  <c:v>0.6451807853468956</c:v>
                </c:pt>
                <c:pt idx="4">
                  <c:v>0.65561404193046635</c:v>
                </c:pt>
                <c:pt idx="5">
                  <c:v>0.6269043694469254</c:v>
                </c:pt>
                <c:pt idx="6">
                  <c:v>0.58993469614992788</c:v>
                </c:pt>
                <c:pt idx="7">
                  <c:v>0.56410115563686791</c:v>
                </c:pt>
                <c:pt idx="8">
                  <c:v>0.55516835860434521</c:v>
                </c:pt>
                <c:pt idx="9">
                  <c:v>0.54462626186737706</c:v>
                </c:pt>
                <c:pt idx="10">
                  <c:v>0.53599278463704081</c:v>
                </c:pt>
                <c:pt idx="11">
                  <c:v>0.52750488869848877</c:v>
                </c:pt>
                <c:pt idx="12">
                  <c:v>0.52417369388900847</c:v>
                </c:pt>
                <c:pt idx="13">
                  <c:v>0.51586869811433667</c:v>
                </c:pt>
                <c:pt idx="14">
                  <c:v>0.50607286296845966</c:v>
                </c:pt>
                <c:pt idx="15">
                  <c:v>0.49805485242067682</c:v>
                </c:pt>
                <c:pt idx="16">
                  <c:v>0.49332806978684202</c:v>
                </c:pt>
                <c:pt idx="17">
                  <c:v>0.48863383445358755</c:v>
                </c:pt>
                <c:pt idx="18">
                  <c:v>0.47935327515047332</c:v>
                </c:pt>
                <c:pt idx="19">
                  <c:v>0.47175841304443489</c:v>
                </c:pt>
                <c:pt idx="20">
                  <c:v>0.46281950255420923</c:v>
                </c:pt>
                <c:pt idx="21">
                  <c:v>0.45841177973940123</c:v>
                </c:pt>
                <c:pt idx="22">
                  <c:v>0.45259131400261909</c:v>
                </c:pt>
                <c:pt idx="23">
                  <c:v>0.44258010494211114</c:v>
                </c:pt>
                <c:pt idx="24">
                  <c:v>0.43979802317445998</c:v>
                </c:pt>
                <c:pt idx="25">
                  <c:v>0.43145043167794411</c:v>
                </c:pt>
                <c:pt idx="26">
                  <c:v>0.41125058533359249</c:v>
                </c:pt>
                <c:pt idx="27">
                  <c:v>0.41390894895722324</c:v>
                </c:pt>
                <c:pt idx="28">
                  <c:v>0.4246728877044022</c:v>
                </c:pt>
                <c:pt idx="29">
                  <c:v>0.41794438038112258</c:v>
                </c:pt>
                <c:pt idx="30">
                  <c:v>0.39583649199359344</c:v>
                </c:pt>
                <c:pt idx="31">
                  <c:v>0.38094613858203535</c:v>
                </c:pt>
                <c:pt idx="32">
                  <c:v>0.38464914199189443</c:v>
                </c:pt>
                <c:pt idx="33">
                  <c:v>0.37979529571389525</c:v>
                </c:pt>
                <c:pt idx="34">
                  <c:v>0.36435094380101835</c:v>
                </c:pt>
                <c:pt idx="35">
                  <c:v>0.36090970041261539</c:v>
                </c:pt>
                <c:pt idx="36">
                  <c:v>0.35293521997784982</c:v>
                </c:pt>
                <c:pt idx="37">
                  <c:v>0.34624341728935309</c:v>
                </c:pt>
                <c:pt idx="38">
                  <c:v>0.34296171970603834</c:v>
                </c:pt>
                <c:pt idx="39">
                  <c:v>0.33217731261198319</c:v>
                </c:pt>
                <c:pt idx="40">
                  <c:v>0.34081577345020836</c:v>
                </c:pt>
                <c:pt idx="41">
                  <c:v>0.3408299967390116</c:v>
                </c:pt>
                <c:pt idx="42">
                  <c:v>0.32592527949165884</c:v>
                </c:pt>
                <c:pt idx="43">
                  <c:v>0.33655294887257237</c:v>
                </c:pt>
                <c:pt idx="44">
                  <c:v>0.3354872126177173</c:v>
                </c:pt>
                <c:pt idx="45">
                  <c:v>0.31572269400034952</c:v>
                </c:pt>
                <c:pt idx="46">
                  <c:v>0.32186745477970574</c:v>
                </c:pt>
                <c:pt idx="47">
                  <c:v>0.31576868835935668</c:v>
                </c:pt>
                <c:pt idx="48">
                  <c:v>0.32397915803867727</c:v>
                </c:pt>
                <c:pt idx="49">
                  <c:v>0.34101750442208806</c:v>
                </c:pt>
                <c:pt idx="50">
                  <c:v>0.33996172147739045</c:v>
                </c:pt>
                <c:pt idx="51">
                  <c:v>0.34767496054496105</c:v>
                </c:pt>
                <c:pt idx="52">
                  <c:v>0.35899544130113931</c:v>
                </c:pt>
              </c:numCache>
            </c:numRef>
          </c:yVal>
          <c:smooth val="1"/>
        </c:ser>
        <c:ser>
          <c:idx val="8"/>
          <c:order val="8"/>
          <c:tx>
            <c:v>fit to 40K PP</c:v>
          </c:tx>
          <c:spPr>
            <a:ln w="12700"/>
          </c:spPr>
          <c:marker>
            <c:symbol val="none"/>
          </c:marker>
          <c:xVal>
            <c:numRef>
              <c:f>Data!$G$60:$G$116</c:f>
              <c:numCache>
                <c:formatCode>General</c:formatCode>
                <c:ptCount val="57"/>
                <c:pt idx="0">
                  <c:v>81</c:v>
                </c:pt>
                <c:pt idx="1">
                  <c:v>161</c:v>
                </c:pt>
                <c:pt idx="2">
                  <c:v>197</c:v>
                </c:pt>
                <c:pt idx="3">
                  <c:v>230</c:v>
                </c:pt>
                <c:pt idx="4">
                  <c:v>261.45551599999999</c:v>
                </c:pt>
                <c:pt idx="5">
                  <c:v>293.78926000000001</c:v>
                </c:pt>
                <c:pt idx="6">
                  <c:v>322.35112099999998</c:v>
                </c:pt>
                <c:pt idx="7">
                  <c:v>347.31827199999998</c:v>
                </c:pt>
                <c:pt idx="8">
                  <c:v>379.52146800000003</c:v>
                </c:pt>
                <c:pt idx="9">
                  <c:v>408.232527</c:v>
                </c:pt>
                <c:pt idx="10">
                  <c:v>436.96689700000002</c:v>
                </c:pt>
                <c:pt idx="11">
                  <c:v>465.677955</c:v>
                </c:pt>
                <c:pt idx="12">
                  <c:v>501.50849799999997</c:v>
                </c:pt>
                <c:pt idx="13">
                  <c:v>530.18225700000005</c:v>
                </c:pt>
                <c:pt idx="14">
                  <c:v>551.68990799999995</c:v>
                </c:pt>
                <c:pt idx="15">
                  <c:v>587.52045099999998</c:v>
                </c:pt>
                <c:pt idx="16">
                  <c:v>644.82134499999995</c:v>
                </c:pt>
                <c:pt idx="17">
                  <c:v>673.49044200000003</c:v>
                </c:pt>
                <c:pt idx="18">
                  <c:v>702.16420100000005</c:v>
                </c:pt>
                <c:pt idx="19">
                  <c:v>730.83329800000001</c:v>
                </c:pt>
                <c:pt idx="20">
                  <c:v>788.13885500000004</c:v>
                </c:pt>
                <c:pt idx="21">
                  <c:v>823.96007299999997</c:v>
                </c:pt>
                <c:pt idx="22">
                  <c:v>849.05310899999995</c:v>
                </c:pt>
                <c:pt idx="23">
                  <c:v>877.72220600000003</c:v>
                </c:pt>
                <c:pt idx="24">
                  <c:v>942.20319600000005</c:v>
                </c:pt>
                <c:pt idx="25">
                  <c:v>970.86296800000002</c:v>
                </c:pt>
                <c:pt idx="26">
                  <c:v>992.36595599999998</c:v>
                </c:pt>
                <c:pt idx="27">
                  <c:v>1024.6251010000001</c:v>
                </c:pt>
                <c:pt idx="28">
                  <c:v>1106.991057</c:v>
                </c:pt>
                <c:pt idx="29">
                  <c:v>1142.826262</c:v>
                </c:pt>
                <c:pt idx="30">
                  <c:v>1196.6070440000001</c:v>
                </c:pt>
                <c:pt idx="31">
                  <c:v>1232.404951</c:v>
                </c:pt>
                <c:pt idx="32">
                  <c:v>1289.6592209999999</c:v>
                </c:pt>
                <c:pt idx="33">
                  <c:v>1318.3283180000001</c:v>
                </c:pt>
                <c:pt idx="34">
                  <c:v>1375.6991479999999</c:v>
                </c:pt>
                <c:pt idx="35">
                  <c:v>1433.046666</c:v>
                </c:pt>
                <c:pt idx="36">
                  <c:v>1493.904972</c:v>
                </c:pt>
                <c:pt idx="37">
                  <c:v>1583.441699</c:v>
                </c:pt>
                <c:pt idx="38">
                  <c:v>1665.858941</c:v>
                </c:pt>
                <c:pt idx="39">
                  <c:v>1762.5524519999999</c:v>
                </c:pt>
                <c:pt idx="40">
                  <c:v>1816.2959350000001</c:v>
                </c:pt>
                <c:pt idx="41">
                  <c:v>1870.034756</c:v>
                </c:pt>
                <c:pt idx="42">
                  <c:v>1938.082482</c:v>
                </c:pt>
                <c:pt idx="43">
                  <c:v>1988.259229</c:v>
                </c:pt>
                <c:pt idx="44">
                  <c:v>2045.5135</c:v>
                </c:pt>
                <c:pt idx="45">
                  <c:v>2081.3207309999998</c:v>
                </c:pt>
                <c:pt idx="46">
                  <c:v>2163.7426359999999</c:v>
                </c:pt>
                <c:pt idx="47">
                  <c:v>2231.72975</c:v>
                </c:pt>
                <c:pt idx="48">
                  <c:v>2256.7994739999999</c:v>
                </c:pt>
                <c:pt idx="49">
                  <c:v>2339.2446909999999</c:v>
                </c:pt>
                <c:pt idx="50">
                  <c:v>2400.0890089999998</c:v>
                </c:pt>
                <c:pt idx="51">
                  <c:v>2464.5700000000002</c:v>
                </c:pt>
                <c:pt idx="52">
                  <c:v>2518.243547</c:v>
                </c:pt>
                <c:pt idx="53">
                  <c:v>2553.9761789999998</c:v>
                </c:pt>
                <c:pt idx="54">
                  <c:v>2639.9181960000001</c:v>
                </c:pt>
                <c:pt idx="55">
                  <c:v>2664.950621</c:v>
                </c:pt>
                <c:pt idx="56">
                  <c:v>2693.5497820000001</c:v>
                </c:pt>
              </c:numCache>
            </c:numRef>
          </c:xVal>
          <c:yVal>
            <c:numRef>
              <c:f>Data!$S$60:$S$116</c:f>
              <c:numCache>
                <c:formatCode>General</c:formatCode>
                <c:ptCount val="57"/>
                <c:pt idx="0">
                  <c:v>0.98700291659494233</c:v>
                </c:pt>
                <c:pt idx="1">
                  <c:v>0.92617747541820927</c:v>
                </c:pt>
                <c:pt idx="2">
                  <c:v>0.90220028888373716</c:v>
                </c:pt>
                <c:pt idx="3">
                  <c:v>0.88191005342764084</c:v>
                </c:pt>
                <c:pt idx="4">
                  <c:v>0.86398400014514365</c:v>
                </c:pt>
                <c:pt idx="5">
                  <c:v>0.84691393115399916</c:v>
                </c:pt>
                <c:pt idx="6">
                  <c:v>0.83291598862375482</c:v>
                </c:pt>
                <c:pt idx="7">
                  <c:v>0.82146726430456762</c:v>
                </c:pt>
                <c:pt idx="8">
                  <c:v>0.807728608673416</c:v>
                </c:pt>
                <c:pt idx="9">
                  <c:v>0.79640471988151673</c:v>
                </c:pt>
                <c:pt idx="10">
                  <c:v>0.785895523381132</c:v>
                </c:pt>
                <c:pt idx="11">
                  <c:v>0.77617266101442617</c:v>
                </c:pt>
                <c:pt idx="12">
                  <c:v>0.76506292152442212</c:v>
                </c:pt>
                <c:pt idx="13">
                  <c:v>0.75693994632895412</c:v>
                </c:pt>
                <c:pt idx="14">
                  <c:v>0.75126819614443785</c:v>
                </c:pt>
                <c:pt idx="15">
                  <c:v>0.74257145957486237</c:v>
                </c:pt>
                <c:pt idx="16">
                  <c:v>0.73045091537704843</c:v>
                </c:pt>
                <c:pt idx="17">
                  <c:v>0.72513319404678089</c:v>
                </c:pt>
                <c:pt idx="18">
                  <c:v>0.72026447814630634</c:v>
                </c:pt>
                <c:pt idx="19">
                  <c:v>0.71581124432113818</c:v>
                </c:pt>
                <c:pt idx="20">
                  <c:v>0.70801618029240898</c:v>
                </c:pt>
                <c:pt idx="21">
                  <c:v>0.70379729288580795</c:v>
                </c:pt>
                <c:pt idx="22">
                  <c:v>0.7011002960294701</c:v>
                </c:pt>
                <c:pt idx="23">
                  <c:v>0.69824897404069064</c:v>
                </c:pt>
                <c:pt idx="24">
                  <c:v>0.69258107101695088</c:v>
                </c:pt>
                <c:pt idx="25">
                  <c:v>0.69032641118416016</c:v>
                </c:pt>
                <c:pt idx="26">
                  <c:v>0.68871740706631346</c:v>
                </c:pt>
                <c:pt idx="27">
                  <c:v>0.68640975569443086</c:v>
                </c:pt>
                <c:pt idx="28">
                  <c:v>0.68087210622959382</c:v>
                </c:pt>
                <c:pt idx="29">
                  <c:v>0.67852003084778989</c:v>
                </c:pt>
                <c:pt idx="30">
                  <c:v>0.6749386573706182</c:v>
                </c:pt>
                <c:pt idx="31">
                  <c:v>0.67247276907603837</c:v>
                </c:pt>
                <c:pt idx="32">
                  <c:v>0.66831606082242268</c:v>
                </c:pt>
                <c:pt idx="33">
                  <c:v>0.66611337925677438</c:v>
                </c:pt>
                <c:pt idx="34">
                  <c:v>0.66142491435246642</c:v>
                </c:pt>
                <c:pt idx="35">
                  <c:v>0.65633960410169756</c:v>
                </c:pt>
                <c:pt idx="36">
                  <c:v>0.65050867326672579</c:v>
                </c:pt>
                <c:pt idx="37">
                  <c:v>0.64121903128263524</c:v>
                </c:pt>
                <c:pt idx="38">
                  <c:v>0.63215747546237311</c:v>
                </c:pt>
                <c:pt idx="39">
                  <c:v>0.62139733634434402</c:v>
                </c:pt>
                <c:pt idx="40">
                  <c:v>0.61560511173087606</c:v>
                </c:pt>
                <c:pt idx="41">
                  <c:v>0.61012073555544766</c:v>
                </c:pt>
                <c:pt idx="42">
                  <c:v>0.60383773615946112</c:v>
                </c:pt>
                <c:pt idx="43">
                  <c:v>0.59983055400444618</c:v>
                </c:pt>
                <c:pt idx="44">
                  <c:v>0.59605776869585314</c:v>
                </c:pt>
                <c:pt idx="45">
                  <c:v>0.59419094272929474</c:v>
                </c:pt>
                <c:pt idx="46">
                  <c:v>0.59150563857506433</c:v>
                </c:pt>
                <c:pt idx="47">
                  <c:v>0.59110052299677041</c:v>
                </c:pt>
                <c:pt idx="48">
                  <c:v>0.59137176777545919</c:v>
                </c:pt>
                <c:pt idx="49">
                  <c:v>0.5937814238675142</c:v>
                </c:pt>
                <c:pt idx="50">
                  <c:v>0.59684899176665696</c:v>
                </c:pt>
                <c:pt idx="51">
                  <c:v>0.6008757570134442</c:v>
                </c:pt>
                <c:pt idx="52">
                  <c:v>0.60437507823221814</c:v>
                </c:pt>
                <c:pt idx="53">
                  <c:v>0.60650121635989473</c:v>
                </c:pt>
                <c:pt idx="54">
                  <c:v>0.60952830277733205</c:v>
                </c:pt>
                <c:pt idx="55">
                  <c:v>0.60946119883206828</c:v>
                </c:pt>
                <c:pt idx="56">
                  <c:v>0.60861618224954583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13600"/>
        <c:axId val="79115776"/>
      </c:scatterChart>
      <c:valAx>
        <c:axId val="79113600"/>
        <c:scaling>
          <c:orientation val="minMax"/>
        </c:scaling>
        <c:delete val="0"/>
        <c:axPos val="b"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79115776"/>
        <c:crosses val="autoZero"/>
        <c:crossBetween val="midCat"/>
      </c:valAx>
      <c:valAx>
        <c:axId val="791157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79113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480060</xdr:colOff>
      <xdr:row>4</xdr:row>
      <xdr:rowOff>53340</xdr:rowOff>
    </xdr:from>
    <xdr:to>
      <xdr:col>11</xdr:col>
      <xdr:colOff>175260</xdr:colOff>
      <xdr:row>19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</xdr:colOff>
      <xdr:row>37</xdr:row>
      <xdr:rowOff>68580</xdr:rowOff>
    </xdr:from>
    <xdr:to>
      <xdr:col>16</xdr:col>
      <xdr:colOff>137160</xdr:colOff>
      <xdr:row>56</xdr:row>
      <xdr:rowOff>99060</xdr:rowOff>
    </xdr:to>
    <xdr:graphicFrame macro="">
      <xdr:nvGraphicFramePr>
        <xdr:cNvPr id="2" name="Chart 1" title="PTF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99060</xdr:colOff>
      <xdr:row>9</xdr:row>
      <xdr:rowOff>60960</xdr:rowOff>
    </xdr:from>
    <xdr:to>
      <xdr:col>32</xdr:col>
      <xdr:colOff>30480</xdr:colOff>
      <xdr:row>24</xdr:row>
      <xdr:rowOff>60960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510540</xdr:colOff>
      <xdr:row>6</xdr:row>
      <xdr:rowOff>99060</xdr:rowOff>
    </xdr:from>
    <xdr:to>
      <xdr:col>11</xdr:col>
      <xdr:colOff>601980</xdr:colOff>
      <xdr:row>31</xdr:row>
      <xdr:rowOff>60960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93"/>
  <sheetViews>
    <sheetView topLeftCell="A664" workbookViewId="0">
      <selection activeCell="C683" sqref="C683"/>
    </sheetView>
  </sheetViews>
  <sheetFormatPr defaultRowHeight="14.4" x14ac:dyDescent="0.3"/>
  <sheetData>
    <row r="1" spans="1:4" x14ac:dyDescent="0.3">
      <c r="A1" t="s">
        <v>56</v>
      </c>
    </row>
    <row r="2" spans="1:4" x14ac:dyDescent="0.3">
      <c r="A2" t="s">
        <v>52</v>
      </c>
      <c r="B2" t="s">
        <v>53</v>
      </c>
      <c r="C2" t="s">
        <v>54</v>
      </c>
      <c r="D2" t="s">
        <v>55</v>
      </c>
    </row>
    <row r="3" spans="1:4" x14ac:dyDescent="0.3">
      <c r="A3">
        <f>2.01613*(29979200000/1000000000)</f>
        <v>60.441964495999997</v>
      </c>
      <c r="B3">
        <v>0.94825000000000004</v>
      </c>
      <c r="C3">
        <f>1-B3</f>
        <v>5.1749999999999963E-2</v>
      </c>
    </row>
    <row r="4" spans="1:4" x14ac:dyDescent="0.3">
      <c r="A4">
        <f>2.066533*(29979200000/1000000000)</f>
        <v>61.953006113600004</v>
      </c>
      <c r="B4">
        <v>0.94174000000000002</v>
      </c>
      <c r="C4">
        <f t="shared" ref="C4:C6" si="0">1-B4</f>
        <v>5.8259999999999978E-2</v>
      </c>
    </row>
    <row r="5" spans="1:4" x14ac:dyDescent="0.3">
      <c r="A5">
        <f>2.116936*(29979200000/1000000000)</f>
        <v>63.464047731199997</v>
      </c>
      <c r="B5">
        <v>0.90830999999999995</v>
      </c>
      <c r="C5">
        <f t="shared" si="0"/>
        <v>9.1690000000000049E-2</v>
      </c>
    </row>
    <row r="6" spans="1:4" x14ac:dyDescent="0.3">
      <c r="A6">
        <f>2.167339*(29979200000/1000000000)</f>
        <v>64.975089348799997</v>
      </c>
      <c r="B6">
        <v>0.88246000000000002</v>
      </c>
      <c r="C6">
        <f t="shared" si="0"/>
        <v>0.11753999999999998</v>
      </c>
    </row>
    <row r="7" spans="1:4" x14ac:dyDescent="0.3">
      <c r="A7">
        <f>2.217742*(29979200000/1000000000)</f>
        <v>66.486130966399998</v>
      </c>
      <c r="B7">
        <v>0.87199000000000004</v>
      </c>
      <c r="C7">
        <f>MAX(0,(-1*B7+1/EXP((Data!$K$58*2.54)*(Data!$V$60+Data!$V$61*($A7/1000)+Data!$V$62*($A7/1000)^2+Data!$V$63*($A7/1000)^3+Data!$V$64*($A7/1000)^4+Data!$V$65*($A7/1000)^5+Data!$V$66*($A7/1000)^6+Data!$V$67*($A7/1000)^7))))</f>
        <v>0.12725578240768709</v>
      </c>
    </row>
    <row r="8" spans="1:4" x14ac:dyDescent="0.3">
      <c r="A8">
        <f>2.268145*(29979200000/1000000000)</f>
        <v>67.997172583999998</v>
      </c>
      <c r="B8">
        <v>0.87192999999999998</v>
      </c>
      <c r="C8">
        <f>MAX(0,(-1*B8+1/EXP((Data!$K$58*2.54)*(Data!$V$60+Data!$V$61*($A8/1000)+Data!$V$62*($A8/1000)^2+Data!$V$63*($A8/1000)^3+Data!$V$64*($A8/1000)^4+Data!$V$65*($A8/1000)^5+Data!$V$66*($A8/1000)^6+Data!$V$67*($A8/1000)^7))))</f>
        <v>0.12602286436936205</v>
      </c>
    </row>
    <row r="9" spans="1:4" x14ac:dyDescent="0.3">
      <c r="A9">
        <f>2.318548*(29979200000/1000000000)</f>
        <v>69.508214201599998</v>
      </c>
      <c r="B9">
        <v>0.88775999999999999</v>
      </c>
      <c r="C9">
        <f>MAX(0,(-1*B9+1/EXP((Data!$K$58*2.54)*(Data!$V$60+Data!$V$61*($A9/1000)+Data!$V$62*($A9/1000)^2+Data!$V$63*($A9/1000)^3+Data!$V$64*($A9/1000)^4+Data!$V$65*($A9/1000)^5+Data!$V$66*($A9/1000)^6+Data!$V$67*($A9/1000)^7))))</f>
        <v>0.10890423270223648</v>
      </c>
    </row>
    <row r="10" spans="1:4" x14ac:dyDescent="0.3">
      <c r="A10">
        <f>2.368951*(29979200000/1000000000)</f>
        <v>71.019255819199998</v>
      </c>
      <c r="B10">
        <v>0.88073000000000001</v>
      </c>
      <c r="C10">
        <f>MAX(0,(-1*B10+1/EXP((Data!$K$58*2.54)*(Data!$V$60+Data!$V$61*($A10/1000)+Data!$V$62*($A10/1000)^2+Data!$V$63*($A10/1000)^3+Data!$V$64*($A10/1000)^4+Data!$V$65*($A10/1000)^5+Data!$V$66*($A10/1000)^6+Data!$V$67*($A10/1000)^7))))</f>
        <v>0.11464987527535797</v>
      </c>
    </row>
    <row r="11" spans="1:4" x14ac:dyDescent="0.3">
      <c r="A11">
        <f>2.419354*(29979200000/1000000000)</f>
        <v>72.530297436799998</v>
      </c>
      <c r="B11">
        <v>0.92764999999999997</v>
      </c>
      <c r="C11">
        <f>MAX(0,(-1*B11+1/EXP((Data!$K$58*2.54)*(Data!$V$60+Data!$V$61*($A11/1000)+Data!$V$62*($A11/1000)^2+Data!$V$63*($A11/1000)^3+Data!$V$64*($A11/1000)^4+Data!$V$65*($A11/1000)^5+Data!$V$66*($A11/1000)^6+Data!$V$67*($A11/1000)^7))))</f>
        <v>6.6449779999685599E-2</v>
      </c>
    </row>
    <row r="12" spans="1:4" x14ac:dyDescent="0.3">
      <c r="A12">
        <f>2.469757*(29979200000/1000000000)</f>
        <v>74.041339054399998</v>
      </c>
      <c r="B12">
        <v>0.96082000000000001</v>
      </c>
      <c r="C12">
        <f>MAX(0,(-1*B12+1/EXP((Data!$K$58*2.54)*(Data!$V$60+Data!$V$61*($A12/1000)+Data!$V$62*($A12/1000)^2+Data!$V$63*($A12/1000)^3+Data!$V$64*($A12/1000)^4+Data!$V$65*($A12/1000)^5+Data!$V$66*($A12/1000)^6+Data!$V$67*($A12/1000)^7))))</f>
        <v>3.2003934827834146E-2</v>
      </c>
    </row>
    <row r="13" spans="1:4" x14ac:dyDescent="0.3">
      <c r="A13">
        <f>2.52016*(29979200000/1000000000)</f>
        <v>75.552380671999984</v>
      </c>
      <c r="B13">
        <v>0.93915000000000004</v>
      </c>
      <c r="C13">
        <f>MAX(0,(-1*B13+1/EXP((Data!$K$58*2.54)*(Data!$V$60+Data!$V$61*($A13/1000)+Data!$V$62*($A13/1000)^2+Data!$V$63*($A13/1000)^3+Data!$V$64*($A13/1000)^4+Data!$V$65*($A13/1000)^5+Data!$V$66*($A13/1000)^6+Data!$V$67*($A13/1000)^7))))</f>
        <v>5.2402327753820366E-2</v>
      </c>
    </row>
    <row r="14" spans="1:4" x14ac:dyDescent="0.3">
      <c r="A14">
        <f>2.570563*(29979200000/1000000000)</f>
        <v>77.063422289599998</v>
      </c>
      <c r="B14">
        <v>0.96775</v>
      </c>
      <c r="C14">
        <f>MAX(0,(-1*B14+1/EXP((Data!$K$58*2.54)*(Data!$V$60+Data!$V$61*($A14/1000)+Data!$V$62*($A14/1000)^2+Data!$V$63*($A14/1000)^3+Data!$V$64*($A14/1000)^4+Data!$V$65*($A14/1000)^5+Data!$V$66*($A14/1000)^6+Data!$V$67*($A14/1000)^7))))</f>
        <v>2.2534946812812318E-2</v>
      </c>
    </row>
    <row r="15" spans="1:4" x14ac:dyDescent="0.3">
      <c r="A15">
        <f>2.620966*(29979200000/1000000000)</f>
        <v>78.574463907199998</v>
      </c>
      <c r="B15">
        <v>0.93039000000000005</v>
      </c>
      <c r="C15">
        <f>MAX(0,(-1*B15+1/EXP((Data!$K$58*2.54)*(Data!$V$60+Data!$V$61*($A15/1000)+Data!$V$62*($A15/1000)^2+Data!$V$63*($A15/1000)^3+Data!$V$64*($A15/1000)^4+Data!$V$65*($A15/1000)^5+Data!$V$66*($A15/1000)^6+Data!$V$67*($A15/1000)^7))))</f>
        <v>5.8631780080878881E-2</v>
      </c>
    </row>
    <row r="16" spans="1:4" x14ac:dyDescent="0.3">
      <c r="A16">
        <f>2.671369*(29979200000/1000000000)</f>
        <v>80.085505524799999</v>
      </c>
      <c r="B16">
        <v>0.96653999999999995</v>
      </c>
      <c r="C16">
        <f>MAX(0,(-1*B16+1/EXP((Data!$K$58*2.54)*(Data!$V$60+Data!$V$61*($A16/1000)+Data!$V$62*($A16/1000)^2+Data!$V$63*($A16/1000)^3+Data!$V$64*($A16/1000)^4+Data!$V$65*($A16/1000)^5+Data!$V$66*($A16/1000)^6+Data!$V$67*($A16/1000)^7))))</f>
        <v>2.1222815674742157E-2</v>
      </c>
    </row>
    <row r="17" spans="1:3" x14ac:dyDescent="0.3">
      <c r="A17">
        <f>2.721772*(29979200000/1000000000)</f>
        <v>81.596547142399999</v>
      </c>
      <c r="B17">
        <v>0.97</v>
      </c>
      <c r="C17">
        <f>MAX(0,(-1*B17+1/EXP((Data!$K$58*2.54)*(Data!$V$60+Data!$V$61*($A17/1000)+Data!$V$62*($A17/1000)^2+Data!$V$63*($A17/1000)^3+Data!$V$64*($A17/1000)^4+Data!$V$65*($A17/1000)^5+Data!$V$66*($A17/1000)^6+Data!$V$67*($A17/1000)^7))))</f>
        <v>1.6508041751531977E-2</v>
      </c>
    </row>
    <row r="18" spans="1:3" x14ac:dyDescent="0.3">
      <c r="A18">
        <f>2.772175*(29979200000/1000000000)</f>
        <v>83.107588759999985</v>
      </c>
      <c r="B18">
        <v>0.98453000000000002</v>
      </c>
      <c r="C18">
        <f>MAX(0,(-1*B18+1/EXP((Data!$K$58*2.54)*(Data!$V$60+Data!$V$61*($A18/1000)+Data!$V$62*($A18/1000)^2+Data!$V$63*($A18/1000)^3+Data!$V$64*($A18/1000)^4+Data!$V$65*($A18/1000)^5+Data!$V$66*($A18/1000)^6+Data!$V$67*($A18/1000)^7))))</f>
        <v>7.274465085421733E-4</v>
      </c>
    </row>
    <row r="19" spans="1:3" x14ac:dyDescent="0.3">
      <c r="A19">
        <f>2.822578*(29979200000/1000000000)</f>
        <v>84.618630377599999</v>
      </c>
      <c r="B19">
        <v>0.95820000000000005</v>
      </c>
      <c r="C19">
        <f>MAX(0,(-1*B19+1/EXP((Data!$K$58*2.54)*(Data!$V$60+Data!$V$61*($A19/1000)+Data!$V$62*($A19/1000)^2+Data!$V$63*($A19/1000)^3+Data!$V$64*($A19/1000)^4+Data!$V$65*($A19/1000)^5+Data!$V$66*($A19/1000)^6+Data!$V$67*($A19/1000)^7))))</f>
        <v>2.5811018182988699E-2</v>
      </c>
    </row>
    <row r="20" spans="1:3" x14ac:dyDescent="0.3">
      <c r="A20">
        <f>2.872981*(29979200000/1000000000)</f>
        <v>86.129671995199999</v>
      </c>
      <c r="B20">
        <v>0.96606999999999998</v>
      </c>
      <c r="C20">
        <f>MAX(0,(-1*B20+1/EXP((Data!$K$58*2.54)*(Data!$V$60+Data!$V$61*($A20/1000)+Data!$V$62*($A20/1000)^2+Data!$V$63*($A20/1000)^3+Data!$V$64*($A20/1000)^4+Data!$V$65*($A20/1000)^5+Data!$V$66*($A20/1000)^6+Data!$V$67*($A20/1000)^7))))</f>
        <v>1.6698745051769381E-2</v>
      </c>
    </row>
    <row r="21" spans="1:3" x14ac:dyDescent="0.3">
      <c r="A21">
        <f>2.923384*(29979200000/1000000000)</f>
        <v>87.640713612799999</v>
      </c>
      <c r="B21">
        <v>0.98902000000000001</v>
      </c>
      <c r="C21">
        <f>MAX(0,(-1*B21+1/EXP((Data!$K$58*2.54)*(Data!$V$60+Data!$V$61*($A21/1000)+Data!$V$62*($A21/1000)^2+Data!$V$63*($A21/1000)^3+Data!$V$64*($A21/1000)^4+Data!$V$65*($A21/1000)^5+Data!$V$66*($A21/1000)^6+Data!$V$67*($A21/1000)^7))))</f>
        <v>0</v>
      </c>
    </row>
    <row r="22" spans="1:3" x14ac:dyDescent="0.3">
      <c r="A22">
        <f>2.973787*(29979200000/1000000000)</f>
        <v>89.151755230399999</v>
      </c>
      <c r="B22">
        <v>0.98667000000000005</v>
      </c>
      <c r="C22">
        <f>MAX(0,(-1*B22+1/EXP((Data!$K$58*2.54)*(Data!$V$60+Data!$V$61*($A22/1000)+Data!$V$62*($A22/1000)^2+Data!$V$63*($A22/1000)^3+Data!$V$64*($A22/1000)^4+Data!$V$65*($A22/1000)^5+Data!$V$66*($A22/1000)^6+Data!$V$67*($A22/1000)^7))))</f>
        <v>0</v>
      </c>
    </row>
    <row r="23" spans="1:3" x14ac:dyDescent="0.3">
      <c r="A23">
        <f>3.02419*(29979200000/1000000000)</f>
        <v>90.662796847999999</v>
      </c>
      <c r="B23">
        <v>0.97921000000000002</v>
      </c>
      <c r="C23">
        <f>MAX(0,(-1*B23+1/EXP((Data!$K$58*2.54)*(Data!$V$60+Data!$V$61*($A23/1000)+Data!$V$62*($A23/1000)^2+Data!$V$63*($A23/1000)^3+Data!$V$64*($A23/1000)^4+Data!$V$65*($A23/1000)^5+Data!$V$66*($A23/1000)^6+Data!$V$67*($A23/1000)^7))))</f>
        <v>0</v>
      </c>
    </row>
    <row r="24" spans="1:3" x14ac:dyDescent="0.3">
      <c r="A24">
        <f>3.074593*(29979200000/1000000000)</f>
        <v>92.173838465599999</v>
      </c>
      <c r="B24">
        <v>0.95169999999999999</v>
      </c>
      <c r="C24">
        <f>MAX(0,(-1*B24+1/EXP((Data!$K$58*2.54)*(Data!$V$60+Data!$V$61*($A24/1000)+Data!$V$62*($A24/1000)^2+Data!$V$63*($A24/1000)^3+Data!$V$64*($A24/1000)^4+Data!$V$65*($A24/1000)^5+Data!$V$66*($A24/1000)^6+Data!$V$67*($A24/1000)^7))))</f>
        <v>2.614097138377558E-2</v>
      </c>
    </row>
    <row r="25" spans="1:3" x14ac:dyDescent="0.3">
      <c r="A25">
        <f>3.124996*(29979200000/1000000000)</f>
        <v>93.684880083199999</v>
      </c>
      <c r="B25">
        <v>0.97180999999999995</v>
      </c>
      <c r="C25">
        <f>MAX(0,(-1*B25+1/EXP((Data!$K$58*2.54)*(Data!$V$60+Data!$V$61*($A25/1000)+Data!$V$62*($A25/1000)^2+Data!$V$63*($A25/1000)^3+Data!$V$64*($A25/1000)^4+Data!$V$65*($A25/1000)^5+Data!$V$66*($A25/1000)^6+Data!$V$67*($A25/1000)^7))))</f>
        <v>4.8092997499985524E-3</v>
      </c>
    </row>
    <row r="26" spans="1:3" x14ac:dyDescent="0.3">
      <c r="A26">
        <f>3.175399*(29979200000/1000000000)</f>
        <v>95.1959217008</v>
      </c>
      <c r="B26">
        <v>0.98758999999999997</v>
      </c>
      <c r="C26">
        <f>MAX(0,(-1*B26+1/EXP((Data!$K$58*2.54)*(Data!$V$60+Data!$V$61*($A26/1000)+Data!$V$62*($A26/1000)^2+Data!$V$63*($A26/1000)^3+Data!$V$64*($A26/1000)^4+Data!$V$65*($A26/1000)^5+Data!$V$66*($A26/1000)^6+Data!$V$67*($A26/1000)^7))))</f>
        <v>0</v>
      </c>
    </row>
    <row r="27" spans="1:3" x14ac:dyDescent="0.3">
      <c r="A27">
        <f>3.225802*(29979200000/1000000000)</f>
        <v>96.706963318399985</v>
      </c>
      <c r="B27">
        <v>0.98429</v>
      </c>
      <c r="C27">
        <f>MAX(0,(-1*B27+1/EXP((Data!$K$58*2.54)*(Data!$V$60+Data!$V$61*($A27/1000)+Data!$V$62*($A27/1000)^2+Data!$V$63*($A27/1000)^3+Data!$V$64*($A27/1000)^4+Data!$V$65*($A27/1000)^5+Data!$V$66*($A27/1000)^6+Data!$V$67*($A27/1000)^7))))</f>
        <v>0</v>
      </c>
    </row>
    <row r="28" spans="1:3" x14ac:dyDescent="0.3">
      <c r="A28">
        <f>3.276205*(29979200000/1000000000)</f>
        <v>98.218004936</v>
      </c>
      <c r="B28">
        <v>0.98307999999999995</v>
      </c>
      <c r="C28">
        <f>MAX(0,(-1*B28+1/EXP((Data!$K$58*2.54)*(Data!$V$60+Data!$V$61*($A28/1000)+Data!$V$62*($A28/1000)^2+Data!$V$63*($A28/1000)^3+Data!$V$64*($A28/1000)^4+Data!$V$65*($A28/1000)^5+Data!$V$66*($A28/1000)^6+Data!$V$67*($A28/1000)^7))))</f>
        <v>0</v>
      </c>
    </row>
    <row r="29" spans="1:3" x14ac:dyDescent="0.3">
      <c r="A29">
        <f>3.326608*(29979200000/1000000000)</f>
        <v>99.7290465536</v>
      </c>
      <c r="B29">
        <v>0.97009999999999996</v>
      </c>
      <c r="C29">
        <f>MAX(0,(-1*B29+1/EXP((Data!$K$58*2.54)*(Data!$V$60+Data!$V$61*($A29/1000)+Data!$V$62*($A29/1000)^2+Data!$V$63*($A29/1000)^3+Data!$V$64*($A29/1000)^4+Data!$V$65*($A29/1000)^5+Data!$V$66*($A29/1000)^6+Data!$V$67*($A29/1000)^7))))</f>
        <v>1.6733556432450003E-3</v>
      </c>
    </row>
    <row r="30" spans="1:3" x14ac:dyDescent="0.3">
      <c r="A30">
        <f>3.377011*(29979200000/1000000000)</f>
        <v>101.2400881712</v>
      </c>
      <c r="B30">
        <v>0.96428999999999998</v>
      </c>
      <c r="C30">
        <f>MAX(0,(-1*B30+1/EXP((Data!$K$58*2.54)*(Data!$V$60+Data!$V$61*($A30/1000)+Data!$V$62*($A30/1000)^2+Data!$V$63*($A30/1000)^3+Data!$V$64*($A30/1000)^4+Data!$V$65*($A30/1000)^5+Data!$V$66*($A30/1000)^6+Data!$V$67*($A30/1000)^7))))</f>
        <v>6.2819982468841351E-3</v>
      </c>
    </row>
    <row r="31" spans="1:3" x14ac:dyDescent="0.3">
      <c r="A31">
        <f>3.427414*(29979200000/1000000000)</f>
        <v>102.7511297888</v>
      </c>
      <c r="B31">
        <v>0.97567999999999999</v>
      </c>
      <c r="C31">
        <f>MAX(0,(-1*B31+1/EXP((Data!$K$58*2.54)*(Data!$V$60+Data!$V$61*($A31/1000)+Data!$V$62*($A31/1000)^2+Data!$V$63*($A31/1000)^3+Data!$V$64*($A31/1000)^4+Data!$V$65*($A31/1000)^5+Data!$V$66*($A31/1000)^6+Data!$V$67*($A31/1000)^7))))</f>
        <v>0</v>
      </c>
    </row>
    <row r="32" spans="1:3" x14ac:dyDescent="0.3">
      <c r="A32">
        <f>3.477817*(29979200000/1000000000)</f>
        <v>104.2621714064</v>
      </c>
      <c r="B32">
        <v>1.0015099999999999</v>
      </c>
      <c r="C32">
        <f>MAX(0,(-1*B32+1/EXP((Data!$K$58*2.54)*(Data!$V$60+Data!$V$61*($A32/1000)+Data!$V$62*($A32/1000)^2+Data!$V$63*($A32/1000)^3+Data!$V$64*($A32/1000)^4+Data!$V$65*($A32/1000)^5+Data!$V$66*($A32/1000)^6+Data!$V$67*($A32/1000)^7))))</f>
        <v>0</v>
      </c>
    </row>
    <row r="33" spans="1:3" x14ac:dyDescent="0.3">
      <c r="A33">
        <f>3.52822*(29979200000/1000000000)</f>
        <v>105.773213024</v>
      </c>
      <c r="B33">
        <v>0.99997999999999998</v>
      </c>
      <c r="C33">
        <f>MAX(0,(-1*B33+1/EXP((Data!$K$58*2.54)*(Data!$V$60+Data!$V$61*($A33/1000)+Data!$V$62*($A33/1000)^2+Data!$V$63*($A33/1000)^3+Data!$V$64*($A33/1000)^4+Data!$V$65*($A33/1000)^5+Data!$V$66*($A33/1000)^6+Data!$V$67*($A33/1000)^7))))</f>
        <v>0</v>
      </c>
    </row>
    <row r="34" spans="1:3" x14ac:dyDescent="0.3">
      <c r="A34">
        <f>3.578623*(29979200000/1000000000)</f>
        <v>107.2842546416</v>
      </c>
      <c r="B34">
        <v>0.99317999999999995</v>
      </c>
      <c r="C34">
        <f>MAX(0,(-1*B34+1/EXP((Data!$K$58*2.54)*(Data!$V$60+Data!$V$61*($A34/1000)+Data!$V$62*($A34/1000)^2+Data!$V$63*($A34/1000)^3+Data!$V$64*($A34/1000)^4+Data!$V$65*($A34/1000)^5+Data!$V$66*($A34/1000)^6+Data!$V$67*($A34/1000)^7))))</f>
        <v>0</v>
      </c>
    </row>
    <row r="35" spans="1:3" x14ac:dyDescent="0.3">
      <c r="A35">
        <f>3.629026*(29979200000/1000000000)</f>
        <v>108.7952962592</v>
      </c>
      <c r="B35">
        <v>0.99411000000000005</v>
      </c>
      <c r="C35">
        <f>MAX(0,(-1*B35+1/EXP((Data!$K$58*2.54)*(Data!$V$60+Data!$V$61*($A35/1000)+Data!$V$62*($A35/1000)^2+Data!$V$63*($A35/1000)^3+Data!$V$64*($A35/1000)^4+Data!$V$65*($A35/1000)^5+Data!$V$66*($A35/1000)^6+Data!$V$67*($A35/1000)^7))))</f>
        <v>0</v>
      </c>
    </row>
    <row r="36" spans="1:3" x14ac:dyDescent="0.3">
      <c r="A36">
        <f>3.679429*(29979200000/1000000000)</f>
        <v>110.30633787679999</v>
      </c>
      <c r="B36">
        <v>0.99860000000000004</v>
      </c>
      <c r="C36">
        <f>MAX(0,(-1*B36+1/EXP((Data!$K$58*2.54)*(Data!$V$60+Data!$V$61*($A36/1000)+Data!$V$62*($A36/1000)^2+Data!$V$63*($A36/1000)^3+Data!$V$64*($A36/1000)^4+Data!$V$65*($A36/1000)^5+Data!$V$66*($A36/1000)^6+Data!$V$67*($A36/1000)^7))))</f>
        <v>0</v>
      </c>
    </row>
    <row r="37" spans="1:3" x14ac:dyDescent="0.3">
      <c r="A37">
        <f>3.729832*(29979200000/1000000000)</f>
        <v>111.8173794944</v>
      </c>
      <c r="B37">
        <v>1.00552</v>
      </c>
      <c r="C37">
        <f>MAX(0,(-1*B37+1/EXP((Data!$K$58*2.54)*(Data!$V$60+Data!$V$61*($A37/1000)+Data!$V$62*($A37/1000)^2+Data!$V$63*($A37/1000)^3+Data!$V$64*($A37/1000)^4+Data!$V$65*($A37/1000)^5+Data!$V$66*($A37/1000)^6+Data!$V$67*($A37/1000)^7))))</f>
        <v>0</v>
      </c>
    </row>
    <row r="38" spans="1:3" x14ac:dyDescent="0.3">
      <c r="A38">
        <f>3.780235*(29979200000/1000000000)</f>
        <v>113.328421112</v>
      </c>
      <c r="B38">
        <v>0.99429999999999996</v>
      </c>
      <c r="C38">
        <f>MAX(0,(-1*B38+1/EXP((Data!$K$58*2.54)*(Data!$V$60+Data!$V$61*($A38/1000)+Data!$V$62*($A38/1000)^2+Data!$V$63*($A38/1000)^3+Data!$V$64*($A38/1000)^4+Data!$V$65*($A38/1000)^5+Data!$V$66*($A38/1000)^6+Data!$V$67*($A38/1000)^7))))</f>
        <v>0</v>
      </c>
    </row>
    <row r="39" spans="1:3" x14ac:dyDescent="0.3">
      <c r="A39">
        <f>3.830638*(29979200000/1000000000)</f>
        <v>114.8394627296</v>
      </c>
      <c r="B39">
        <v>0.98546</v>
      </c>
      <c r="C39">
        <f>MAX(0,(-1*B39+1/EXP((Data!$K$58*2.54)*(Data!$V$60+Data!$V$61*($A39/1000)+Data!$V$62*($A39/1000)^2+Data!$V$63*($A39/1000)^3+Data!$V$64*($A39/1000)^4+Data!$V$65*($A39/1000)^5+Data!$V$66*($A39/1000)^6+Data!$V$67*($A39/1000)^7))))</f>
        <v>0</v>
      </c>
    </row>
    <row r="40" spans="1:3" x14ac:dyDescent="0.3">
      <c r="A40">
        <f>3.881041*(29979200000/1000000000)</f>
        <v>116.3505043472</v>
      </c>
      <c r="B40">
        <v>0.98319999999999996</v>
      </c>
      <c r="C40">
        <f>MAX(0,(-1*B40+1/EXP((Data!$K$58*2.54)*(Data!$V$60+Data!$V$61*($A40/1000)+Data!$V$62*($A40/1000)^2+Data!$V$63*($A40/1000)^3+Data!$V$64*($A40/1000)^4+Data!$V$65*($A40/1000)^5+Data!$V$66*($A40/1000)^6+Data!$V$67*($A40/1000)^7))))</f>
        <v>0</v>
      </c>
    </row>
    <row r="41" spans="1:3" x14ac:dyDescent="0.3">
      <c r="A41">
        <f>3.931444*(29979200000/1000000000)</f>
        <v>117.86154596479999</v>
      </c>
      <c r="B41">
        <v>0.98778999999999995</v>
      </c>
      <c r="C41">
        <f>MAX(0,(-1*B41+1/EXP((Data!$K$58*2.54)*(Data!$V$60+Data!$V$61*($A41/1000)+Data!$V$62*($A41/1000)^2+Data!$V$63*($A41/1000)^3+Data!$V$64*($A41/1000)^4+Data!$V$65*($A41/1000)^5+Data!$V$66*($A41/1000)^6+Data!$V$67*($A41/1000)^7))))</f>
        <v>0</v>
      </c>
    </row>
    <row r="42" spans="1:3" x14ac:dyDescent="0.3">
      <c r="A42">
        <f>3.981847*(29979200000/1000000000)</f>
        <v>119.3725875824</v>
      </c>
      <c r="B42">
        <v>0.97302999999999995</v>
      </c>
      <c r="C42">
        <f>MAX(0,(-1*B42+1/EXP((Data!$K$58*2.54)*(Data!$V$60+Data!$V$61*($A42/1000)+Data!$V$62*($A42/1000)^2+Data!$V$63*($A42/1000)^3+Data!$V$64*($A42/1000)^4+Data!$V$65*($A42/1000)^5+Data!$V$66*($A42/1000)^6+Data!$V$67*($A42/1000)^7))))</f>
        <v>0</v>
      </c>
    </row>
    <row r="43" spans="1:3" x14ac:dyDescent="0.3">
      <c r="A43">
        <f>4.03225*(29979200000/1000000000)</f>
        <v>120.88362919999997</v>
      </c>
      <c r="B43">
        <v>0.98075000000000001</v>
      </c>
      <c r="C43">
        <f>MAX(0,(-1*B43+1/EXP((Data!$K$58*2.54)*(Data!$V$60+Data!$V$61*($A43/1000)+Data!$V$62*($A43/1000)^2+Data!$V$63*($A43/1000)^3+Data!$V$64*($A43/1000)^4+Data!$V$65*($A43/1000)^5+Data!$V$66*($A43/1000)^6+Data!$V$67*($A43/1000)^7))))</f>
        <v>0</v>
      </c>
    </row>
    <row r="44" spans="1:3" x14ac:dyDescent="0.3">
      <c r="A44">
        <f>4.082653*(29979200000/1000000000)</f>
        <v>122.39467081760002</v>
      </c>
      <c r="B44">
        <v>0.99077999999999999</v>
      </c>
      <c r="C44">
        <f>MAX(0,(-1*B44+1/EXP((Data!$K$58*2.54)*(Data!$V$60+Data!$V$61*($A44/1000)+Data!$V$62*($A44/1000)^2+Data!$V$63*($A44/1000)^3+Data!$V$64*($A44/1000)^4+Data!$V$65*($A44/1000)^5+Data!$V$66*($A44/1000)^6+Data!$V$67*($A44/1000)^7))))</f>
        <v>0</v>
      </c>
    </row>
    <row r="45" spans="1:3" x14ac:dyDescent="0.3">
      <c r="A45">
        <f>4.133056*(29979200000/1000000000)</f>
        <v>123.90571243519999</v>
      </c>
      <c r="B45">
        <v>0.99038000000000004</v>
      </c>
      <c r="C45">
        <f>MAX(0,(-1*B45+1/EXP((Data!$K$58*2.54)*(Data!$V$60+Data!$V$61*($A45/1000)+Data!$V$62*($A45/1000)^2+Data!$V$63*($A45/1000)^3+Data!$V$64*($A45/1000)^4+Data!$V$65*($A45/1000)^5+Data!$V$66*($A45/1000)^6+Data!$V$67*($A45/1000)^7))))</f>
        <v>0</v>
      </c>
    </row>
    <row r="46" spans="1:3" x14ac:dyDescent="0.3">
      <c r="A46">
        <f>4.183459*(29979200000/1000000000)</f>
        <v>125.4167540528</v>
      </c>
      <c r="B46">
        <v>0.98911000000000004</v>
      </c>
      <c r="C46">
        <f>MAX(0,(-1*B46+1/EXP((Data!$K$58*2.54)*(Data!$V$60+Data!$V$61*($A46/1000)+Data!$V$62*($A46/1000)^2+Data!$V$63*($A46/1000)^3+Data!$V$64*($A46/1000)^4+Data!$V$65*($A46/1000)^5+Data!$V$66*($A46/1000)^6+Data!$V$67*($A46/1000)^7))))</f>
        <v>0</v>
      </c>
    </row>
    <row r="47" spans="1:3" x14ac:dyDescent="0.3">
      <c r="A47">
        <f>4.233862*(29979200000/1000000000)</f>
        <v>126.9277956704</v>
      </c>
      <c r="B47">
        <v>0.99060000000000004</v>
      </c>
      <c r="C47">
        <f>MAX(0,(-1*B47+1/EXP((Data!$K$58*2.54)*(Data!$V$60+Data!$V$61*($A47/1000)+Data!$V$62*($A47/1000)^2+Data!$V$63*($A47/1000)^3+Data!$V$64*($A47/1000)^4+Data!$V$65*($A47/1000)^5+Data!$V$66*($A47/1000)^6+Data!$V$67*($A47/1000)^7))))</f>
        <v>0</v>
      </c>
    </row>
    <row r="48" spans="1:3" x14ac:dyDescent="0.3">
      <c r="A48">
        <f>4.284265*(29979200000/1000000000)</f>
        <v>128.43883728799997</v>
      </c>
      <c r="B48">
        <v>0.97909000000000002</v>
      </c>
      <c r="C48">
        <f>MAX(0,(-1*B48+1/EXP((Data!$K$58*2.54)*(Data!$V$60+Data!$V$61*($A48/1000)+Data!$V$62*($A48/1000)^2+Data!$V$63*($A48/1000)^3+Data!$V$64*($A48/1000)^4+Data!$V$65*($A48/1000)^5+Data!$V$66*($A48/1000)^6+Data!$V$67*($A48/1000)^7))))</f>
        <v>0</v>
      </c>
    </row>
    <row r="49" spans="1:3" x14ac:dyDescent="0.3">
      <c r="A49">
        <f>4.334668*(29979200000/1000000000)</f>
        <v>129.9498789056</v>
      </c>
      <c r="B49">
        <v>0.96484999999999999</v>
      </c>
      <c r="C49">
        <f>MAX(0,(-1*B49+1/EXP((Data!$K$58*2.54)*(Data!$V$60+Data!$V$61*($A49/1000)+Data!$V$62*($A49/1000)^2+Data!$V$63*($A49/1000)^3+Data!$V$64*($A49/1000)^4+Data!$V$65*($A49/1000)^5+Data!$V$66*($A49/1000)^6+Data!$V$67*($A49/1000)^7))))</f>
        <v>0</v>
      </c>
    </row>
    <row r="50" spans="1:3" x14ac:dyDescent="0.3">
      <c r="A50">
        <f>4.385071*(29979200000/1000000000)</f>
        <v>131.4609205232</v>
      </c>
      <c r="B50">
        <v>0.96682000000000001</v>
      </c>
      <c r="C50">
        <f>MAX(0,(-1*B50+1/EXP((Data!$K$58*2.54)*(Data!$V$60+Data!$V$61*($A50/1000)+Data!$V$62*($A50/1000)^2+Data!$V$63*($A50/1000)^3+Data!$V$64*($A50/1000)^4+Data!$V$65*($A50/1000)^5+Data!$V$66*($A50/1000)^6+Data!$V$67*($A50/1000)^7))))</f>
        <v>0</v>
      </c>
    </row>
    <row r="51" spans="1:3" x14ac:dyDescent="0.3">
      <c r="A51">
        <f>4.435474*(29979200000/1000000000)</f>
        <v>132.9719621408</v>
      </c>
      <c r="B51">
        <v>0.96933999999999998</v>
      </c>
      <c r="C51">
        <f>MAX(0,(-1*B51+1/EXP((Data!$K$58*2.54)*(Data!$V$60+Data!$V$61*($A51/1000)+Data!$V$62*($A51/1000)^2+Data!$V$63*($A51/1000)^3+Data!$V$64*($A51/1000)^4+Data!$V$65*($A51/1000)^5+Data!$V$66*($A51/1000)^6+Data!$V$67*($A51/1000)^7))))</f>
        <v>0</v>
      </c>
    </row>
    <row r="52" spans="1:3" x14ac:dyDescent="0.3">
      <c r="A52">
        <f>4.485877*(29979200000/1000000000)</f>
        <v>134.4830037584</v>
      </c>
      <c r="B52">
        <v>0.97055999999999998</v>
      </c>
      <c r="C52">
        <f>MAX(0,(-1*B52+1/EXP((Data!$K$58*2.54)*(Data!$V$60+Data!$V$61*($A52/1000)+Data!$V$62*($A52/1000)^2+Data!$V$63*($A52/1000)^3+Data!$V$64*($A52/1000)^4+Data!$V$65*($A52/1000)^5+Data!$V$66*($A52/1000)^6+Data!$V$67*($A52/1000)^7))))</f>
        <v>0</v>
      </c>
    </row>
    <row r="53" spans="1:3" x14ac:dyDescent="0.3">
      <c r="A53">
        <f>4.53628*(29979200000/1000000000)</f>
        <v>135.99404537599997</v>
      </c>
      <c r="B53">
        <v>0.96272999999999997</v>
      </c>
      <c r="C53">
        <f>MAX(0,(-1*B53+1/EXP((Data!$K$58*2.54)*(Data!$V$60+Data!$V$61*($A53/1000)+Data!$V$62*($A53/1000)^2+Data!$V$63*($A53/1000)^3+Data!$V$64*($A53/1000)^4+Data!$V$65*($A53/1000)^5+Data!$V$66*($A53/1000)^6+Data!$V$67*($A53/1000)^7))))</f>
        <v>0</v>
      </c>
    </row>
    <row r="54" spans="1:3" x14ac:dyDescent="0.3">
      <c r="A54">
        <f>4.586683*(29979200000/1000000000)</f>
        <v>137.5050869936</v>
      </c>
      <c r="B54">
        <v>0.95491999999999999</v>
      </c>
      <c r="C54">
        <f>MAX(0,(-1*B54+1/EXP((Data!$K$58*2.54)*(Data!$V$60+Data!$V$61*($A54/1000)+Data!$V$62*($A54/1000)^2+Data!$V$63*($A54/1000)^3+Data!$V$64*($A54/1000)^4+Data!$V$65*($A54/1000)^5+Data!$V$66*($A54/1000)^6+Data!$V$67*($A54/1000)^7))))</f>
        <v>0</v>
      </c>
    </row>
    <row r="55" spans="1:3" x14ac:dyDescent="0.3">
      <c r="A55">
        <f>4.637086*(29979200000/1000000000)</f>
        <v>139.0161286112</v>
      </c>
      <c r="B55">
        <v>0.95077999999999996</v>
      </c>
      <c r="C55">
        <f>MAX(0,(-1*B55+1/EXP((Data!$K$58*2.54)*(Data!$V$60+Data!$V$61*($A55/1000)+Data!$V$62*($A55/1000)^2+Data!$V$63*($A55/1000)^3+Data!$V$64*($A55/1000)^4+Data!$V$65*($A55/1000)^5+Data!$V$66*($A55/1000)^6+Data!$V$67*($A55/1000)^7))))</f>
        <v>0</v>
      </c>
    </row>
    <row r="56" spans="1:3" x14ac:dyDescent="0.3">
      <c r="A56">
        <f>4.687489*(29979200000/1000000000)</f>
        <v>140.5271702288</v>
      </c>
      <c r="B56">
        <v>0.94711999999999996</v>
      </c>
      <c r="C56">
        <f>MAX(0,(-1*B56+1/EXP((Data!$K$58*2.54)*(Data!$V$60+Data!$V$61*($A56/1000)+Data!$V$62*($A56/1000)^2+Data!$V$63*($A56/1000)^3+Data!$V$64*($A56/1000)^4+Data!$V$65*($A56/1000)^5+Data!$V$66*($A56/1000)^6+Data!$V$67*($A56/1000)^7))))</f>
        <v>0</v>
      </c>
    </row>
    <row r="57" spans="1:3" x14ac:dyDescent="0.3">
      <c r="A57">
        <f>4.737892*(29979200000/1000000000)</f>
        <v>142.0382118464</v>
      </c>
      <c r="B57">
        <v>0.94545999999999997</v>
      </c>
      <c r="C57">
        <f>MAX(0,(-1*B57+1/EXP((Data!$K$58*2.54)*(Data!$V$60+Data!$V$61*($A57/1000)+Data!$V$62*($A57/1000)^2+Data!$V$63*($A57/1000)^3+Data!$V$64*($A57/1000)^4+Data!$V$65*($A57/1000)^5+Data!$V$66*($A57/1000)^6+Data!$V$67*($A57/1000)^7))))</f>
        <v>0</v>
      </c>
    </row>
    <row r="58" spans="1:3" x14ac:dyDescent="0.3">
      <c r="A58">
        <f>4.788295*(29979200000/1000000000)</f>
        <v>143.54925346399997</v>
      </c>
      <c r="B58">
        <v>0.93988000000000005</v>
      </c>
      <c r="C58">
        <f>MAX(0,(-1*B58+1/EXP((Data!$K$58*2.54)*(Data!$V$60+Data!$V$61*($A58/1000)+Data!$V$62*($A58/1000)^2+Data!$V$63*($A58/1000)^3+Data!$V$64*($A58/1000)^4+Data!$V$65*($A58/1000)^5+Data!$V$66*($A58/1000)^6+Data!$V$67*($A58/1000)^7))))</f>
        <v>0</v>
      </c>
    </row>
    <row r="59" spans="1:3" x14ac:dyDescent="0.3">
      <c r="A59">
        <f>4.838698*(29979200000/1000000000)</f>
        <v>145.06029508160003</v>
      </c>
      <c r="B59">
        <v>0.93459000000000003</v>
      </c>
      <c r="C59">
        <f>MAX(0,(-1*B59+1/EXP((Data!$K$58*2.54)*(Data!$V$60+Data!$V$61*($A59/1000)+Data!$V$62*($A59/1000)^2+Data!$V$63*($A59/1000)^3+Data!$V$64*($A59/1000)^4+Data!$V$65*($A59/1000)^5+Data!$V$66*($A59/1000)^6+Data!$V$67*($A59/1000)^7))))</f>
        <v>2.8503993943491679E-3</v>
      </c>
    </row>
    <row r="60" spans="1:3" x14ac:dyDescent="0.3">
      <c r="A60">
        <f>4.889101*(29979200000/1000000000)</f>
        <v>146.5713366992</v>
      </c>
      <c r="B60">
        <v>0.93572</v>
      </c>
      <c r="C60">
        <f>MAX(0,(-1*B60+1/EXP((Data!$K$58*2.54)*(Data!$V$60+Data!$V$61*($A60/1000)+Data!$V$62*($A60/1000)^2+Data!$V$63*($A60/1000)^3+Data!$V$64*($A60/1000)^4+Data!$V$65*($A60/1000)^5+Data!$V$66*($A60/1000)^6+Data!$V$67*($A60/1000)^7))))</f>
        <v>6.3514893799099248E-4</v>
      </c>
    </row>
    <row r="61" spans="1:3" x14ac:dyDescent="0.3">
      <c r="A61">
        <f>4.939504*(29979200000/1000000000)</f>
        <v>148.0823783168</v>
      </c>
      <c r="B61">
        <v>0.93777999999999995</v>
      </c>
      <c r="C61">
        <f>MAX(0,(-1*B61+1/EXP((Data!$K$58*2.54)*(Data!$V$60+Data!$V$61*($A61/1000)+Data!$V$62*($A61/1000)^2+Data!$V$63*($A61/1000)^3+Data!$V$64*($A61/1000)^4+Data!$V$65*($A61/1000)^5+Data!$V$66*($A61/1000)^6+Data!$V$67*($A61/1000)^7))))</f>
        <v>0</v>
      </c>
    </row>
    <row r="62" spans="1:3" x14ac:dyDescent="0.3">
      <c r="A62">
        <f>4.989907*(29979200000/1000000000)</f>
        <v>149.5934199344</v>
      </c>
      <c r="B62">
        <v>0.94162000000000001</v>
      </c>
      <c r="C62">
        <f>MAX(0,(-1*B62+1/EXP((Data!$K$58*2.54)*(Data!$V$60+Data!$V$61*($A62/1000)+Data!$V$62*($A62/1000)^2+Data!$V$63*($A62/1000)^3+Data!$V$64*($A62/1000)^4+Data!$V$65*($A62/1000)^5+Data!$V$66*($A62/1000)^6+Data!$V$67*($A62/1000)^7))))</f>
        <v>0</v>
      </c>
    </row>
    <row r="63" spans="1:3" x14ac:dyDescent="0.3">
      <c r="A63">
        <f>5.04031*(29979200000/1000000000)</f>
        <v>151.10446155199998</v>
      </c>
      <c r="B63">
        <v>0.94423999999999997</v>
      </c>
      <c r="C63">
        <f>MAX(0,(-1*B63+1/EXP((Data!$K$58*2.54)*(Data!$V$60+Data!$V$61*($A63/1000)+Data!$V$62*($A63/1000)^2+Data!$V$63*($A63/1000)^3+Data!$V$64*($A63/1000)^4+Data!$V$65*($A63/1000)^5+Data!$V$66*($A63/1000)^6+Data!$V$67*($A63/1000)^7))))</f>
        <v>0</v>
      </c>
    </row>
    <row r="64" spans="1:3" x14ac:dyDescent="0.3">
      <c r="A64">
        <f>5.090713*(29979200000/1000000000)</f>
        <v>152.6155031696</v>
      </c>
      <c r="B64">
        <v>0.94540000000000002</v>
      </c>
      <c r="C64">
        <f>MAX(0,(-1*B64+1/EXP((Data!$K$58*2.54)*(Data!$V$60+Data!$V$61*($A64/1000)+Data!$V$62*($A64/1000)^2+Data!$V$63*($A64/1000)^3+Data!$V$64*($A64/1000)^4+Data!$V$65*($A64/1000)^5+Data!$V$66*($A64/1000)^6+Data!$V$67*($A64/1000)^7))))</f>
        <v>0</v>
      </c>
    </row>
    <row r="65" spans="1:3" x14ac:dyDescent="0.3">
      <c r="A65">
        <f>5.141116*(29979200000/1000000000)</f>
        <v>154.1265447872</v>
      </c>
      <c r="B65">
        <v>0.94896000000000003</v>
      </c>
      <c r="C65">
        <f>MAX(0,(-1*B65+1/EXP((Data!$K$58*2.54)*(Data!$V$60+Data!$V$61*($A65/1000)+Data!$V$62*($A65/1000)^2+Data!$V$63*($A65/1000)^3+Data!$V$64*($A65/1000)^4+Data!$V$65*($A65/1000)^5+Data!$V$66*($A65/1000)^6+Data!$V$67*($A65/1000)^7))))</f>
        <v>0</v>
      </c>
    </row>
    <row r="66" spans="1:3" x14ac:dyDescent="0.3">
      <c r="A66">
        <f>5.191519*(29979200000/1000000000)</f>
        <v>155.63758640479998</v>
      </c>
      <c r="B66">
        <v>0.95609999999999995</v>
      </c>
      <c r="C66">
        <f>MAX(0,(-1*B66+1/EXP((Data!$K$58*2.54)*(Data!$V$60+Data!$V$61*($A66/1000)+Data!$V$62*($A66/1000)^2+Data!$V$63*($A66/1000)^3+Data!$V$64*($A66/1000)^4+Data!$V$65*($A66/1000)^5+Data!$V$66*($A66/1000)^6+Data!$V$67*($A66/1000)^7))))</f>
        <v>0</v>
      </c>
    </row>
    <row r="67" spans="1:3" x14ac:dyDescent="0.3">
      <c r="A67">
        <f>5.241922*(29979200000/1000000000)</f>
        <v>157.1486280224</v>
      </c>
      <c r="B67">
        <v>0.96167999999999998</v>
      </c>
      <c r="C67">
        <f>MAX(0,(-1*B67+1/EXP((Data!$K$58*2.54)*(Data!$V$60+Data!$V$61*($A67/1000)+Data!$V$62*($A67/1000)^2+Data!$V$63*($A67/1000)^3+Data!$V$64*($A67/1000)^4+Data!$V$65*($A67/1000)^5+Data!$V$66*($A67/1000)^6+Data!$V$67*($A67/1000)^7))))</f>
        <v>0</v>
      </c>
    </row>
    <row r="68" spans="1:3" x14ac:dyDescent="0.3">
      <c r="A68">
        <f>5.292325*(29979200000/1000000000)</f>
        <v>158.65966964</v>
      </c>
      <c r="B68">
        <v>0.96875</v>
      </c>
      <c r="C68">
        <f>MAX(0,(-1*B68+1/EXP((Data!$K$58*2.54)*(Data!$V$60+Data!$V$61*($A68/1000)+Data!$V$62*($A68/1000)^2+Data!$V$63*($A68/1000)^3+Data!$V$64*($A68/1000)^4+Data!$V$65*($A68/1000)^5+Data!$V$66*($A68/1000)^6+Data!$V$67*($A68/1000)^7))))</f>
        <v>0</v>
      </c>
    </row>
    <row r="69" spans="1:3" x14ac:dyDescent="0.3">
      <c r="A69">
        <f>5.342728*(29979200000/1000000000)</f>
        <v>160.1707112576</v>
      </c>
      <c r="B69">
        <v>0.97343000000000002</v>
      </c>
      <c r="C69">
        <f>MAX(0,(-1*B69+1/EXP((Data!$K$58*2.54)*(Data!$V$60+Data!$V$61*($A69/1000)+Data!$V$62*($A69/1000)^2+Data!$V$63*($A69/1000)^3+Data!$V$64*($A69/1000)^4+Data!$V$65*($A69/1000)^5+Data!$V$66*($A69/1000)^6+Data!$V$67*($A69/1000)^7))))</f>
        <v>0</v>
      </c>
    </row>
    <row r="70" spans="1:3" x14ac:dyDescent="0.3">
      <c r="A70">
        <f>5.393131*(29979200000/1000000000)</f>
        <v>161.6817528752</v>
      </c>
      <c r="B70">
        <v>0.97604000000000002</v>
      </c>
      <c r="C70">
        <f>MAX(0,(-1*B70+1/EXP((Data!$K$58*2.54)*(Data!$V$60+Data!$V$61*($A70/1000)+Data!$V$62*($A70/1000)^2+Data!$V$63*($A70/1000)^3+Data!$V$64*($A70/1000)^4+Data!$V$65*($A70/1000)^5+Data!$V$66*($A70/1000)^6+Data!$V$67*($A70/1000)^7))))</f>
        <v>0</v>
      </c>
    </row>
    <row r="71" spans="1:3" x14ac:dyDescent="0.3">
      <c r="A71">
        <f>5.443534*(29979200000/1000000000)</f>
        <v>163.19279449279998</v>
      </c>
      <c r="B71">
        <v>0.97541999999999995</v>
      </c>
      <c r="C71">
        <f>MAX(0,(-1*B71+1/EXP((Data!$K$58*2.54)*(Data!$V$60+Data!$V$61*($A71/1000)+Data!$V$62*($A71/1000)^2+Data!$V$63*($A71/1000)^3+Data!$V$64*($A71/1000)^4+Data!$V$65*($A71/1000)^5+Data!$V$66*($A71/1000)^6+Data!$V$67*($A71/1000)^7))))</f>
        <v>0</v>
      </c>
    </row>
    <row r="72" spans="1:3" x14ac:dyDescent="0.3">
      <c r="A72">
        <f>5.493937*(29979200000/1000000000)</f>
        <v>164.7038361104</v>
      </c>
      <c r="B72">
        <v>0.96928000000000003</v>
      </c>
      <c r="C72">
        <f>MAX(0,(-1*B72+1/EXP((Data!$K$58*2.54)*(Data!$V$60+Data!$V$61*($A72/1000)+Data!$V$62*($A72/1000)^2+Data!$V$63*($A72/1000)^3+Data!$V$64*($A72/1000)^4+Data!$V$65*($A72/1000)^5+Data!$V$66*($A72/1000)^6+Data!$V$67*($A72/1000)^7))))</f>
        <v>0</v>
      </c>
    </row>
    <row r="73" spans="1:3" x14ac:dyDescent="0.3">
      <c r="A73">
        <f>5.54434*(29979200000/1000000000)</f>
        <v>166.214877728</v>
      </c>
      <c r="B73">
        <v>0.96501000000000003</v>
      </c>
      <c r="C73">
        <f>MAX(0,(-1*B73+1/EXP((Data!$K$58*2.54)*(Data!$V$60+Data!$V$61*($A73/1000)+Data!$V$62*($A73/1000)^2+Data!$V$63*($A73/1000)^3+Data!$V$64*($A73/1000)^4+Data!$V$65*($A73/1000)^5+Data!$V$66*($A73/1000)^6+Data!$V$67*($A73/1000)^7))))</f>
        <v>0</v>
      </c>
    </row>
    <row r="74" spans="1:3" x14ac:dyDescent="0.3">
      <c r="A74">
        <f>5.594743*(29979200000/1000000000)</f>
        <v>167.7259193456</v>
      </c>
      <c r="B74">
        <v>0.95977999999999997</v>
      </c>
      <c r="C74">
        <f>MAX(0,(-1*B74+1/EXP((Data!$K$58*2.54)*(Data!$V$60+Data!$V$61*($A74/1000)+Data!$V$62*($A74/1000)^2+Data!$V$63*($A74/1000)^3+Data!$V$64*($A74/1000)^4+Data!$V$65*($A74/1000)^5+Data!$V$66*($A74/1000)^6+Data!$V$67*($A74/1000)^7))))</f>
        <v>0</v>
      </c>
    </row>
    <row r="75" spans="1:3" x14ac:dyDescent="0.3">
      <c r="A75">
        <f>5.645146*(29979200000/1000000000)</f>
        <v>169.2369609632</v>
      </c>
      <c r="B75">
        <v>0.95145999999999997</v>
      </c>
      <c r="C75">
        <f>MAX(0,(-1*B75+1/EXP((Data!$K$58*2.54)*(Data!$V$60+Data!$V$61*($A75/1000)+Data!$V$62*($A75/1000)^2+Data!$V$63*($A75/1000)^3+Data!$V$64*($A75/1000)^4+Data!$V$65*($A75/1000)^5+Data!$V$66*($A75/1000)^6+Data!$V$67*($A75/1000)^7))))</f>
        <v>0</v>
      </c>
    </row>
    <row r="76" spans="1:3" x14ac:dyDescent="0.3">
      <c r="A76">
        <f>5.695549*(29979200000/1000000000)</f>
        <v>170.74800258079998</v>
      </c>
      <c r="B76">
        <v>0.94198999999999999</v>
      </c>
      <c r="C76">
        <f>MAX(0,(-1*B76+1/EXP((Data!$K$58*2.54)*(Data!$V$60+Data!$V$61*($A76/1000)+Data!$V$62*($A76/1000)^2+Data!$V$63*($A76/1000)^3+Data!$V$64*($A76/1000)^4+Data!$V$65*($A76/1000)^5+Data!$V$66*($A76/1000)^6+Data!$V$67*($A76/1000)^7))))</f>
        <v>0</v>
      </c>
    </row>
    <row r="77" spans="1:3" x14ac:dyDescent="0.3">
      <c r="A77">
        <f>5.745952*(29979200000/1000000000)</f>
        <v>172.25904419840001</v>
      </c>
      <c r="B77">
        <v>0.93352000000000002</v>
      </c>
      <c r="C77">
        <f>MAX(0,(-1*B77+1/EXP((Data!$K$58*2.54)*(Data!$V$60+Data!$V$61*($A77/1000)+Data!$V$62*($A77/1000)^2+Data!$V$63*($A77/1000)^3+Data!$V$64*($A77/1000)^4+Data!$V$65*($A77/1000)^5+Data!$V$66*($A77/1000)^6+Data!$V$67*($A77/1000)^7))))</f>
        <v>0</v>
      </c>
    </row>
    <row r="78" spans="1:3" x14ac:dyDescent="0.3">
      <c r="A78">
        <f>5.796355*(29979200000/1000000000)</f>
        <v>173.77008581600001</v>
      </c>
      <c r="B78">
        <v>0.92605000000000004</v>
      </c>
      <c r="C78">
        <f>MAX(0,(-1*B78+1/EXP((Data!$K$58*2.54)*(Data!$V$60+Data!$V$61*($A78/1000)+Data!$V$62*($A78/1000)^2+Data!$V$63*($A78/1000)^3+Data!$V$64*($A78/1000)^4+Data!$V$65*($A78/1000)^5+Data!$V$66*($A78/1000)^6+Data!$V$67*($A78/1000)^7))))</f>
        <v>0</v>
      </c>
    </row>
    <row r="79" spans="1:3" x14ac:dyDescent="0.3">
      <c r="A79">
        <f>5.846758*(29979200000/1000000000)</f>
        <v>175.28112743360001</v>
      </c>
      <c r="B79">
        <v>0.91676000000000002</v>
      </c>
      <c r="C79">
        <f>MAX(0,(-1*B79+1/EXP((Data!$K$58*2.54)*(Data!$V$60+Data!$V$61*($A79/1000)+Data!$V$62*($A79/1000)^2+Data!$V$63*($A79/1000)^3+Data!$V$64*($A79/1000)^4+Data!$V$65*($A79/1000)^5+Data!$V$66*($A79/1000)^6+Data!$V$67*($A79/1000)^7))))</f>
        <v>0</v>
      </c>
    </row>
    <row r="80" spans="1:3" x14ac:dyDescent="0.3">
      <c r="A80">
        <f>5.897161*(29979200000/1000000000)</f>
        <v>176.79216905120001</v>
      </c>
      <c r="B80">
        <v>0.90697000000000005</v>
      </c>
      <c r="C80">
        <f>MAX(0,(-1*B80+1/EXP((Data!$K$58*2.54)*(Data!$V$60+Data!$V$61*($A80/1000)+Data!$V$62*($A80/1000)^2+Data!$V$63*($A80/1000)^3+Data!$V$64*($A80/1000)^4+Data!$V$65*($A80/1000)^5+Data!$V$66*($A80/1000)^6+Data!$V$67*($A80/1000)^7))))</f>
        <v>8.4449454894435227E-3</v>
      </c>
    </row>
    <row r="81" spans="1:3" x14ac:dyDescent="0.3">
      <c r="A81">
        <f>5.947564*(29979200000/1000000000)</f>
        <v>178.30321066879998</v>
      </c>
      <c r="B81">
        <v>0.90014000000000005</v>
      </c>
      <c r="C81">
        <f>MAX(0,(-1*B81+1/EXP((Data!$K$58*2.54)*(Data!$V$60+Data!$V$61*($A81/1000)+Data!$V$62*($A81/1000)^2+Data!$V$63*($A81/1000)^3+Data!$V$64*($A81/1000)^4+Data!$V$65*($A81/1000)^5+Data!$V$66*($A81/1000)^6+Data!$V$67*($A81/1000)^7))))</f>
        <v>1.4265408258493317E-2</v>
      </c>
    </row>
    <row r="82" spans="1:3" x14ac:dyDescent="0.3">
      <c r="A82">
        <f>5.997967*(29979200000/1000000000)</f>
        <v>179.81425228640001</v>
      </c>
      <c r="B82">
        <v>0.89261000000000001</v>
      </c>
      <c r="C82">
        <f>MAX(0,(-1*B82+1/EXP((Data!$K$58*2.54)*(Data!$V$60+Data!$V$61*($A82/1000)+Data!$V$62*($A82/1000)^2+Data!$V$63*($A82/1000)^3+Data!$V$64*($A82/1000)^4+Data!$V$65*($A82/1000)^5+Data!$V$66*($A82/1000)^6+Data!$V$67*($A82/1000)^7))))</f>
        <v>2.0789368023244825E-2</v>
      </c>
    </row>
    <row r="83" spans="1:3" x14ac:dyDescent="0.3">
      <c r="A83">
        <f>6.04837*(29979200000/1000000000)</f>
        <v>181.32529390400001</v>
      </c>
      <c r="B83">
        <v>0.88615999999999995</v>
      </c>
      <c r="C83">
        <f>MAX(0,(-1*B83+1/EXP((Data!$K$58*2.54)*(Data!$V$60+Data!$V$61*($A83/1000)+Data!$V$62*($A83/1000)^2+Data!$V$63*($A83/1000)^3+Data!$V$64*($A83/1000)^4+Data!$V$65*($A83/1000)^5+Data!$V$66*($A83/1000)^6+Data!$V$67*($A83/1000)^7))))</f>
        <v>2.6236815147779646E-2</v>
      </c>
    </row>
    <row r="84" spans="1:3" x14ac:dyDescent="0.3">
      <c r="A84">
        <f>6.098773*(29979200000/1000000000)</f>
        <v>182.83633552159998</v>
      </c>
      <c r="B84">
        <v>0.88610999999999995</v>
      </c>
      <c r="C84">
        <f>MAX(0,(-1*B84+1/EXP((Data!$K$58*2.54)*(Data!$V$60+Data!$V$61*($A84/1000)+Data!$V$62*($A84/1000)^2+Data!$V$63*($A84/1000)^3+Data!$V$64*($A84/1000)^4+Data!$V$65*($A84/1000)^5+Data!$V$66*($A84/1000)^6+Data!$V$67*($A84/1000)^7))))</f>
        <v>2.528774002372336E-2</v>
      </c>
    </row>
    <row r="85" spans="1:3" x14ac:dyDescent="0.3">
      <c r="A85">
        <f>6.149176*(29979200000/1000000000)</f>
        <v>184.34737713920001</v>
      </c>
      <c r="B85">
        <v>0.89217000000000002</v>
      </c>
      <c r="C85">
        <f>MAX(0,(-1*B85+1/EXP((Data!$K$58*2.54)*(Data!$V$60+Data!$V$61*($A85/1000)+Data!$V$62*($A85/1000)^2+Data!$V$63*($A85/1000)^3+Data!$V$64*($A85/1000)^4+Data!$V$65*($A85/1000)^5+Data!$V$66*($A85/1000)^6+Data!$V$67*($A85/1000)^7))))</f>
        <v>1.8232133070098855E-2</v>
      </c>
    </row>
    <row r="86" spans="1:3" x14ac:dyDescent="0.3">
      <c r="A86">
        <f>6.199579*(29979200000/1000000000)</f>
        <v>185.85841875679998</v>
      </c>
      <c r="B86">
        <v>0.89966000000000002</v>
      </c>
      <c r="C86">
        <f>MAX(0,(-1*B86+1/EXP((Data!$K$58*2.54)*(Data!$V$60+Data!$V$61*($A86/1000)+Data!$V$62*($A86/1000)^2+Data!$V$63*($A86/1000)^3+Data!$V$64*($A86/1000)^4+Data!$V$65*($A86/1000)^5+Data!$V$66*($A86/1000)^6+Data!$V$67*($A86/1000)^7))))</f>
        <v>9.7499847331770084E-3</v>
      </c>
    </row>
    <row r="87" spans="1:3" x14ac:dyDescent="0.3">
      <c r="A87">
        <f>6.249982*(29979200000/1000000000)</f>
        <v>187.36946037440003</v>
      </c>
      <c r="B87">
        <v>0.90581</v>
      </c>
      <c r="C87">
        <f>MAX(0,(-1*B87+1/EXP((Data!$K$58*2.54)*(Data!$V$60+Data!$V$61*($A87/1000)+Data!$V$62*($A87/1000)^2+Data!$V$63*($A87/1000)^3+Data!$V$64*($A87/1000)^4+Data!$V$65*($A87/1000)^5+Data!$V$66*($A87/1000)^6+Data!$V$67*($A87/1000)^7))))</f>
        <v>2.6112854863308277E-3</v>
      </c>
    </row>
    <row r="88" spans="1:3" x14ac:dyDescent="0.3">
      <c r="A88">
        <f>6.300385*(29979200000/1000000000)</f>
        <v>188.88050199200001</v>
      </c>
      <c r="B88">
        <v>0.91202000000000005</v>
      </c>
      <c r="C88">
        <f>MAX(0,(-1*B88+1/EXP((Data!$K$58*2.54)*(Data!$V$60+Data!$V$61*($A88/1000)+Data!$V$62*($A88/1000)^2+Data!$V$63*($A88/1000)^3+Data!$V$64*($A88/1000)^4+Data!$V$65*($A88/1000)^5+Data!$V$66*($A88/1000)^6+Data!$V$67*($A88/1000)^7))))</f>
        <v>0</v>
      </c>
    </row>
    <row r="89" spans="1:3" x14ac:dyDescent="0.3">
      <c r="A89">
        <f>6.350788*(29979200000/1000000000)</f>
        <v>190.39154360959998</v>
      </c>
      <c r="B89">
        <v>0.92315000000000003</v>
      </c>
      <c r="C89">
        <f>MAX(0,(-1*B89+1/EXP((Data!$K$58*2.54)*(Data!$V$60+Data!$V$61*($A89/1000)+Data!$V$62*($A89/1000)^2+Data!$V$63*($A89/1000)^3+Data!$V$64*($A89/1000)^4+Data!$V$65*($A89/1000)^5+Data!$V$66*($A89/1000)^6+Data!$V$67*($A89/1000)^7))))</f>
        <v>0</v>
      </c>
    </row>
    <row r="90" spans="1:3" x14ac:dyDescent="0.3">
      <c r="A90">
        <f>6.401191*(29979200000/1000000000)</f>
        <v>191.90258522720001</v>
      </c>
      <c r="B90">
        <v>0.93440000000000001</v>
      </c>
      <c r="C90">
        <f>MAX(0,(-1*B90+1/EXP((Data!$K$58*2.54)*(Data!$V$60+Data!$V$61*($A90/1000)+Data!$V$62*($A90/1000)^2+Data!$V$63*($A90/1000)^3+Data!$V$64*($A90/1000)^4+Data!$V$65*($A90/1000)^5+Data!$V$66*($A90/1000)^6+Data!$V$67*($A90/1000)^7))))</f>
        <v>0</v>
      </c>
    </row>
    <row r="91" spans="1:3" x14ac:dyDescent="0.3">
      <c r="A91">
        <f>6.451594*(29979200000/1000000000)</f>
        <v>193.41362684480001</v>
      </c>
      <c r="B91">
        <v>0.94340000000000002</v>
      </c>
      <c r="C91">
        <f>MAX(0,(-1*B91+1/EXP((Data!$K$58*2.54)*(Data!$V$60+Data!$V$61*($A91/1000)+Data!$V$62*($A91/1000)^2+Data!$V$63*($A91/1000)^3+Data!$V$64*($A91/1000)^4+Data!$V$65*($A91/1000)^5+Data!$V$66*($A91/1000)^6+Data!$V$67*($A91/1000)^7))))</f>
        <v>0</v>
      </c>
    </row>
    <row r="92" spans="1:3" x14ac:dyDescent="0.3">
      <c r="A92">
        <f>6.501997*(29979200000/1000000000)</f>
        <v>194.92466846240004</v>
      </c>
      <c r="B92">
        <v>0.95194000000000001</v>
      </c>
      <c r="C92">
        <f>MAX(0,(-1*B92+1/EXP((Data!$K$58*2.54)*(Data!$V$60+Data!$V$61*($A92/1000)+Data!$V$62*($A92/1000)^2+Data!$V$63*($A92/1000)^3+Data!$V$64*($A92/1000)^4+Data!$V$65*($A92/1000)^5+Data!$V$66*($A92/1000)^6+Data!$V$67*($A92/1000)^7))))</f>
        <v>0</v>
      </c>
    </row>
    <row r="93" spans="1:3" x14ac:dyDescent="0.3">
      <c r="A93">
        <f>6.5524*(29979200000/1000000000)</f>
        <v>196.43571008000001</v>
      </c>
      <c r="B93">
        <v>0.95796000000000003</v>
      </c>
      <c r="C93">
        <f>MAX(0,(-1*B93+1/EXP((Data!$K$58*2.54)*(Data!$V$60+Data!$V$61*($A93/1000)+Data!$V$62*($A93/1000)^2+Data!$V$63*($A93/1000)^3+Data!$V$64*($A93/1000)^4+Data!$V$65*($A93/1000)^5+Data!$V$66*($A93/1000)^6+Data!$V$67*($A93/1000)^7))))</f>
        <v>0</v>
      </c>
    </row>
    <row r="94" spans="1:3" x14ac:dyDescent="0.3">
      <c r="A94">
        <f>6.602803*(29979200000/1000000000)</f>
        <v>197.94675169759998</v>
      </c>
      <c r="B94">
        <v>0.96077999999999997</v>
      </c>
      <c r="C94">
        <f>MAX(0,(-1*B94+1/EXP((Data!$K$58*2.54)*(Data!$V$60+Data!$V$61*($A94/1000)+Data!$V$62*($A94/1000)^2+Data!$V$63*($A94/1000)^3+Data!$V$64*($A94/1000)^4+Data!$V$65*($A94/1000)^5+Data!$V$66*($A94/1000)^6+Data!$V$67*($A94/1000)^7))))</f>
        <v>0</v>
      </c>
    </row>
    <row r="95" spans="1:3" x14ac:dyDescent="0.3">
      <c r="A95">
        <f>6.653206*(29979200000/1000000000)</f>
        <v>199.45779331520001</v>
      </c>
      <c r="B95">
        <v>0.95492999999999995</v>
      </c>
      <c r="C95">
        <f>MAX(0,(-1*B95+1/EXP((Data!$K$58*2.54)*(Data!$V$60+Data!$V$61*($A95/1000)+Data!$V$62*($A95/1000)^2+Data!$V$63*($A95/1000)^3+Data!$V$64*($A95/1000)^4+Data!$V$65*($A95/1000)^5+Data!$V$66*($A95/1000)^6+Data!$V$67*($A95/1000)^7))))</f>
        <v>0</v>
      </c>
    </row>
    <row r="96" spans="1:3" x14ac:dyDescent="0.3">
      <c r="A96">
        <f>6.703609*(29979200000/1000000000)</f>
        <v>200.96883493280001</v>
      </c>
      <c r="B96">
        <v>0.94320000000000004</v>
      </c>
      <c r="C96">
        <f>MAX(0,(-1*B96+1/EXP((Data!$K$58*2.54)*(Data!$V$60+Data!$V$61*($A96/1000)+Data!$V$62*($A96/1000)^2+Data!$V$63*($A96/1000)^3+Data!$V$64*($A96/1000)^4+Data!$V$65*($A96/1000)^5+Data!$V$66*($A96/1000)^6+Data!$V$67*($A96/1000)^7))))</f>
        <v>0</v>
      </c>
    </row>
    <row r="97" spans="1:3" x14ac:dyDescent="0.3">
      <c r="A97">
        <f>6.754012*(29979200000/1000000000)</f>
        <v>202.47987655039998</v>
      </c>
      <c r="B97">
        <v>0.93357000000000001</v>
      </c>
      <c r="C97">
        <f>MAX(0,(-1*B97+1/EXP((Data!$K$58*2.54)*(Data!$V$60+Data!$V$61*($A97/1000)+Data!$V$62*($A97/1000)^2+Data!$V$63*($A97/1000)^3+Data!$V$64*($A97/1000)^4+Data!$V$65*($A97/1000)^5+Data!$V$66*($A97/1000)^6+Data!$V$67*($A97/1000)^7))))</f>
        <v>0</v>
      </c>
    </row>
    <row r="98" spans="1:3" x14ac:dyDescent="0.3">
      <c r="A98">
        <f>6.804415*(29979200000/1000000000)</f>
        <v>203.99091816800001</v>
      </c>
      <c r="B98">
        <v>0.92193999999999998</v>
      </c>
      <c r="C98">
        <f>MAX(0,(-1*B98+1/EXP((Data!$K$58*2.54)*(Data!$V$60+Data!$V$61*($A98/1000)+Data!$V$62*($A98/1000)^2+Data!$V$63*($A98/1000)^3+Data!$V$64*($A98/1000)^4+Data!$V$65*($A98/1000)^5+Data!$V$66*($A98/1000)^6+Data!$V$67*($A98/1000)^7))))</f>
        <v>0</v>
      </c>
    </row>
    <row r="99" spans="1:3" x14ac:dyDescent="0.3">
      <c r="A99">
        <f>6.854818*(29979200000/1000000000)</f>
        <v>205.50195978559998</v>
      </c>
      <c r="B99">
        <v>0.90342999999999996</v>
      </c>
      <c r="C99">
        <f>MAX(0,(-1*B99+1/EXP((Data!$K$58*2.54)*(Data!$V$60+Data!$V$61*($A99/1000)+Data!$V$62*($A99/1000)^2+Data!$V$63*($A99/1000)^3+Data!$V$64*($A99/1000)^4+Data!$V$65*($A99/1000)^5+Data!$V$66*($A99/1000)^6+Data!$V$67*($A99/1000)^7))))</f>
        <v>0</v>
      </c>
    </row>
    <row r="100" spans="1:3" x14ac:dyDescent="0.3">
      <c r="A100">
        <f>6.905221*(29979200000/1000000000)</f>
        <v>207.01300140320001</v>
      </c>
      <c r="B100">
        <v>0.88102000000000003</v>
      </c>
      <c r="C100">
        <f>MAX(0,(-1*B100+1/EXP((Data!$K$58*2.54)*(Data!$V$60+Data!$V$61*($A100/1000)+Data!$V$62*($A100/1000)^2+Data!$V$63*($A100/1000)^3+Data!$V$64*($A100/1000)^4+Data!$V$65*($A100/1000)^5+Data!$V$66*($A100/1000)^6+Data!$V$67*($A100/1000)^7))))</f>
        <v>1.4857776294418423E-2</v>
      </c>
    </row>
    <row r="101" spans="1:3" x14ac:dyDescent="0.3">
      <c r="A101">
        <f>6.955624*(29979200000/1000000000)</f>
        <v>208.52404302080001</v>
      </c>
      <c r="B101">
        <v>0.85979000000000005</v>
      </c>
      <c r="C101">
        <f>MAX(0,(-1*B101+1/EXP((Data!$K$58*2.54)*(Data!$V$60+Data!$V$61*($A101/1000)+Data!$V$62*($A101/1000)^2+Data!$V$63*($A101/1000)^3+Data!$V$64*($A101/1000)^4+Data!$V$65*($A101/1000)^5+Data!$V$66*($A101/1000)^6+Data!$V$67*($A101/1000)^7))))</f>
        <v>3.5146378848961435E-2</v>
      </c>
    </row>
    <row r="102" spans="1:3" x14ac:dyDescent="0.3">
      <c r="A102">
        <f>7.006027*(29979200000/1000000000)</f>
        <v>210.03508463839998</v>
      </c>
      <c r="B102">
        <v>0.84358</v>
      </c>
      <c r="C102">
        <f>MAX(0,(-1*B102+1/EXP((Data!$K$58*2.54)*(Data!$V$60+Data!$V$61*($A102/1000)+Data!$V$62*($A102/1000)^2+Data!$V$63*($A102/1000)^3+Data!$V$64*($A102/1000)^4+Data!$V$65*($A102/1000)^5+Data!$V$66*($A102/1000)^6+Data!$V$67*($A102/1000)^7))))</f>
        <v>5.0418290749590478E-2</v>
      </c>
    </row>
    <row r="103" spans="1:3" x14ac:dyDescent="0.3">
      <c r="A103">
        <f>7.05643*(29979200000/1000000000)</f>
        <v>211.54612625600001</v>
      </c>
      <c r="B103">
        <v>0.82838999999999996</v>
      </c>
      <c r="C103">
        <f>MAX(0,(-1*B103+1/EXP((Data!$K$58*2.54)*(Data!$V$60+Data!$V$61*($A103/1000)+Data!$V$62*($A103/1000)^2+Data!$V$63*($A103/1000)^3+Data!$V$64*($A103/1000)^4+Data!$V$65*($A103/1000)^5+Data!$V$66*($A103/1000)^6+Data!$V$67*($A103/1000)^7))))</f>
        <v>6.4673502884138534E-2</v>
      </c>
    </row>
    <row r="104" spans="1:3" x14ac:dyDescent="0.3">
      <c r="A104">
        <f>7.106833*(29979200000/1000000000)</f>
        <v>213.05716787359998</v>
      </c>
      <c r="B104">
        <v>0.8125</v>
      </c>
      <c r="C104">
        <f>MAX(0,(-1*B104+1/EXP((Data!$K$58*2.54)*(Data!$V$60+Data!$V$61*($A104/1000)+Data!$V$62*($A104/1000)^2+Data!$V$63*($A104/1000)^3+Data!$V$64*($A104/1000)^4+Data!$V$65*($A104/1000)^5+Data!$V$66*($A104/1000)^6+Data!$V$67*($A104/1000)^7))))</f>
        <v>7.963200616519106E-2</v>
      </c>
    </row>
    <row r="105" spans="1:3" x14ac:dyDescent="0.3">
      <c r="A105">
        <f>7.157236*(29979200000/1000000000)</f>
        <v>214.56820949120001</v>
      </c>
      <c r="B105">
        <v>0.80164999999999997</v>
      </c>
      <c r="C105">
        <f>MAX(0,(-1*B105+1/EXP((Data!$K$58*2.54)*(Data!$V$60+Data!$V$61*($A105/1000)+Data!$V$62*($A105/1000)^2+Data!$V$63*($A105/1000)^3+Data!$V$64*($A105/1000)^4+Data!$V$65*($A105/1000)^5+Data!$V$66*($A105/1000)^6+Data!$V$67*($A105/1000)^7))))</f>
        <v>8.9553791529956239E-2</v>
      </c>
    </row>
    <row r="106" spans="1:3" x14ac:dyDescent="0.3">
      <c r="A106">
        <f>7.207639*(29979200000/1000000000)</f>
        <v>216.07925110880001</v>
      </c>
      <c r="B106">
        <v>0.79862999999999995</v>
      </c>
      <c r="C106">
        <f>MAX(0,(-1*B106+1/EXP((Data!$K$58*2.54)*(Data!$V$60+Data!$V$61*($A106/1000)+Data!$V$62*($A106/1000)^2+Data!$V$63*($A106/1000)^3+Data!$V$64*($A106/1000)^4+Data!$V$65*($A106/1000)^5+Data!$V$66*($A106/1000)^6+Data!$V$67*($A106/1000)^7))))</f>
        <v>9.1648849940134891E-2</v>
      </c>
    </row>
    <row r="107" spans="1:3" x14ac:dyDescent="0.3">
      <c r="A107">
        <f>7.258042*(29979200000/1000000000)</f>
        <v>217.59029272639998</v>
      </c>
      <c r="B107">
        <v>0.80022000000000004</v>
      </c>
      <c r="C107">
        <f>MAX(0,(-1*B107+1/EXP((Data!$K$58*2.54)*(Data!$V$60+Data!$V$61*($A107/1000)+Data!$V$62*($A107/1000)^2+Data!$V$63*($A107/1000)^3+Data!$V$64*($A107/1000)^4+Data!$V$65*($A107/1000)^5+Data!$V$66*($A107/1000)^6+Data!$V$67*($A107/1000)^7))))</f>
        <v>8.9137172381792973E-2</v>
      </c>
    </row>
    <row r="108" spans="1:3" x14ac:dyDescent="0.3">
      <c r="A108">
        <f>7.308445*(29979200000/1000000000)</f>
        <v>219.10133434400001</v>
      </c>
      <c r="B108">
        <v>0.80488999999999999</v>
      </c>
      <c r="C108">
        <f>MAX(0,(-1*B108+1/EXP((Data!$K$58*2.54)*(Data!$V$60+Data!$V$61*($A108/1000)+Data!$V$62*($A108/1000)^2+Data!$V$63*($A108/1000)^3+Data!$V$64*($A108/1000)^4+Data!$V$65*($A108/1000)^5+Data!$V$66*($A108/1000)^6+Data!$V$67*($A108/1000)^7))))</f>
        <v>8.3548749865233196E-2</v>
      </c>
    </row>
    <row r="109" spans="1:3" x14ac:dyDescent="0.3">
      <c r="A109">
        <f>7.358848*(29979200000/1000000000)</f>
        <v>220.61237596159998</v>
      </c>
      <c r="B109">
        <v>0.81284000000000001</v>
      </c>
      <c r="C109">
        <f>MAX(0,(-1*B109+1/EXP((Data!$K$58*2.54)*(Data!$V$60+Data!$V$61*($A109/1000)+Data!$V$62*($A109/1000)^2+Data!$V$63*($A109/1000)^3+Data!$V$64*($A109/1000)^4+Data!$V$65*($A109/1000)^5+Data!$V$66*($A109/1000)^6+Data!$V$67*($A109/1000)^7))))</f>
        <v>7.468357342486831E-2</v>
      </c>
    </row>
    <row r="110" spans="1:3" x14ac:dyDescent="0.3">
      <c r="A110">
        <f>7.409251*(29979200000/1000000000)</f>
        <v>222.12341757920004</v>
      </c>
      <c r="B110">
        <v>0.82606000000000002</v>
      </c>
      <c r="C110">
        <f>MAX(0,(-1*B110+1/EXP((Data!$K$58*2.54)*(Data!$V$60+Data!$V$61*($A110/1000)+Data!$V$62*($A110/1000)^2+Data!$V$63*($A110/1000)^3+Data!$V$64*($A110/1000)^4+Data!$V$65*($A110/1000)^5+Data!$V$66*($A110/1000)^6+Data!$V$67*($A110/1000)^7))))</f>
        <v>6.0551634119095255E-2</v>
      </c>
    </row>
    <row r="111" spans="1:3" x14ac:dyDescent="0.3">
      <c r="A111">
        <f>7.459654*(29979200000/1000000000)</f>
        <v>223.63445919680001</v>
      </c>
      <c r="B111">
        <v>0.84291000000000005</v>
      </c>
      <c r="C111">
        <f>MAX(0,(-1*B111+1/EXP((Data!$K$58*2.54)*(Data!$V$60+Data!$V$61*($A111/1000)+Data!$V$62*($A111/1000)^2+Data!$V$63*($A111/1000)^3+Data!$V$64*($A111/1000)^4+Data!$V$65*($A111/1000)^5+Data!$V$66*($A111/1000)^6+Data!$V$67*($A111/1000)^7))))</f>
        <v>4.2792923030170127E-2</v>
      </c>
    </row>
    <row r="112" spans="1:3" x14ac:dyDescent="0.3">
      <c r="A112">
        <f>7.510057*(29979200000/1000000000)</f>
        <v>225.14550081439998</v>
      </c>
      <c r="B112">
        <v>0.86045000000000005</v>
      </c>
      <c r="C112">
        <f>MAX(0,(-1*B112+1/EXP((Data!$K$58*2.54)*(Data!$V$60+Data!$V$61*($A112/1000)+Data!$V$62*($A112/1000)^2+Data!$V$63*($A112/1000)^3+Data!$V$64*($A112/1000)^4+Data!$V$65*($A112/1000)^5+Data!$V$66*($A112/1000)^6+Data!$V$67*($A112/1000)^7))))</f>
        <v>2.4347431264083119E-2</v>
      </c>
    </row>
    <row r="113" spans="1:3" x14ac:dyDescent="0.3">
      <c r="A113">
        <f>7.56046*(29979200000/1000000000)</f>
        <v>226.65654243200001</v>
      </c>
      <c r="B113">
        <v>0.88073000000000001</v>
      </c>
      <c r="C113">
        <f>MAX(0,(-1*B113+1/EXP((Data!$K$58*2.54)*(Data!$V$60+Data!$V$61*($A113/1000)+Data!$V$62*($A113/1000)^2+Data!$V$63*($A113/1000)^3+Data!$V$64*($A113/1000)^4+Data!$V$65*($A113/1000)^5+Data!$V$66*($A113/1000)^6+Data!$V$67*($A113/1000)^7))))</f>
        <v>3.1651499504353753E-3</v>
      </c>
    </row>
    <row r="114" spans="1:3" x14ac:dyDescent="0.3">
      <c r="A114">
        <f>7.610863*(29979200000/1000000000)</f>
        <v>228.16758404960001</v>
      </c>
      <c r="B114">
        <v>0.90076000000000001</v>
      </c>
      <c r="C114">
        <f>MAX(0,(-1*B114+1/EXP((Data!$K$58*2.54)*(Data!$V$60+Data!$V$61*($A114/1000)+Data!$V$62*($A114/1000)^2+Data!$V$63*($A114/1000)^3+Data!$V$64*($A114/1000)^4+Data!$V$65*($A114/1000)^5+Data!$V$66*($A114/1000)^6+Data!$V$67*($A114/1000)^7))))</f>
        <v>0</v>
      </c>
    </row>
    <row r="115" spans="1:3" x14ac:dyDescent="0.3">
      <c r="A115">
        <f>7.661266*(29979200000/1000000000)</f>
        <v>229.67862566720004</v>
      </c>
      <c r="B115">
        <v>0.91518999999999995</v>
      </c>
      <c r="C115">
        <f>MAX(0,(-1*B115+1/EXP((Data!$K$58*2.54)*(Data!$V$60+Data!$V$61*($A115/1000)+Data!$V$62*($A115/1000)^2+Data!$V$63*($A115/1000)^3+Data!$V$64*($A115/1000)^4+Data!$V$65*($A115/1000)^5+Data!$V$66*($A115/1000)^6+Data!$V$67*($A115/1000)^7))))</f>
        <v>0</v>
      </c>
    </row>
    <row r="116" spans="1:3" x14ac:dyDescent="0.3">
      <c r="A116">
        <f>7.711669*(29979200000/1000000000)</f>
        <v>231.18966728480001</v>
      </c>
      <c r="B116">
        <v>0.92298999999999998</v>
      </c>
      <c r="C116">
        <f>MAX(0,(-1*B116+1/EXP((Data!$K$58*2.54)*(Data!$V$60+Data!$V$61*($A116/1000)+Data!$V$62*($A116/1000)^2+Data!$V$63*($A116/1000)^3+Data!$V$64*($A116/1000)^4+Data!$V$65*($A116/1000)^5+Data!$V$66*($A116/1000)^6+Data!$V$67*($A116/1000)^7))))</f>
        <v>0</v>
      </c>
    </row>
    <row r="117" spans="1:3" x14ac:dyDescent="0.3">
      <c r="A117">
        <f>7.762072*(29979200000/1000000000)</f>
        <v>232.70070890239998</v>
      </c>
      <c r="B117">
        <v>0.92398000000000002</v>
      </c>
      <c r="C117">
        <f>MAX(0,(-1*B117+1/EXP((Data!$K$58*2.54)*(Data!$V$60+Data!$V$61*($A117/1000)+Data!$V$62*($A117/1000)^2+Data!$V$63*($A117/1000)^3+Data!$V$64*($A117/1000)^4+Data!$V$65*($A117/1000)^5+Data!$V$66*($A117/1000)^6+Data!$V$67*($A117/1000)^7))))</f>
        <v>0</v>
      </c>
    </row>
    <row r="118" spans="1:3" x14ac:dyDescent="0.3">
      <c r="A118">
        <f>7.812475*(29979200000/1000000000)</f>
        <v>234.21175052000001</v>
      </c>
      <c r="B118">
        <v>0.91617999999999999</v>
      </c>
      <c r="C118">
        <f>MAX(0,(-1*B118+1/EXP((Data!$K$58*2.54)*(Data!$V$60+Data!$V$61*($A118/1000)+Data!$V$62*($A118/1000)^2+Data!$V$63*($A118/1000)^3+Data!$V$64*($A118/1000)^4+Data!$V$65*($A118/1000)^5+Data!$V$66*($A118/1000)^6+Data!$V$67*($A118/1000)^7))))</f>
        <v>0</v>
      </c>
    </row>
    <row r="119" spans="1:3" x14ac:dyDescent="0.3">
      <c r="A119">
        <f>7.862878*(29979200000/1000000000)</f>
        <v>235.72279213760001</v>
      </c>
      <c r="B119">
        <v>0.89893000000000001</v>
      </c>
      <c r="C119">
        <f>MAX(0,(-1*B119+1/EXP((Data!$K$58*2.54)*(Data!$V$60+Data!$V$61*($A119/1000)+Data!$V$62*($A119/1000)^2+Data!$V$63*($A119/1000)^3+Data!$V$64*($A119/1000)^4+Data!$V$65*($A119/1000)^5+Data!$V$66*($A119/1000)^6+Data!$V$67*($A119/1000)^7))))</f>
        <v>0</v>
      </c>
    </row>
    <row r="120" spans="1:3" x14ac:dyDescent="0.3">
      <c r="A120">
        <f>7.913281*(29979200000/1000000000)</f>
        <v>237.23383375519998</v>
      </c>
      <c r="B120">
        <v>0.87507000000000001</v>
      </c>
      <c r="C120">
        <f>MAX(0,(-1*B120+1/EXP((Data!$K$58*2.54)*(Data!$V$60+Data!$V$61*($A120/1000)+Data!$V$62*($A120/1000)^2+Data!$V$63*($A120/1000)^3+Data!$V$64*($A120/1000)^4+Data!$V$65*($A120/1000)^5+Data!$V$66*($A120/1000)^6+Data!$V$67*($A120/1000)^7))))</f>
        <v>2.5983332115693258E-3</v>
      </c>
    </row>
    <row r="121" spans="1:3" x14ac:dyDescent="0.3">
      <c r="A121">
        <f>7.963684*(29979200000/1000000000)</f>
        <v>238.74487537280001</v>
      </c>
      <c r="B121">
        <v>0.84741999999999995</v>
      </c>
      <c r="C121">
        <f>MAX(0,(-1*B121+1/EXP((Data!$K$58*2.54)*(Data!$V$60+Data!$V$61*($A121/1000)+Data!$V$62*($A121/1000)^2+Data!$V$63*($A121/1000)^3+Data!$V$64*($A121/1000)^4+Data!$V$65*($A121/1000)^5+Data!$V$66*($A121/1000)^6+Data!$V$67*($A121/1000)^7))))</f>
        <v>2.9371418976189556E-2</v>
      </c>
    </row>
    <row r="122" spans="1:3" x14ac:dyDescent="0.3">
      <c r="A122">
        <f>8.014087*(29979200000/1000000000)</f>
        <v>240.25591699039998</v>
      </c>
      <c r="B122">
        <v>0.81645000000000001</v>
      </c>
      <c r="C122">
        <f>MAX(0,(-1*B122+1/EXP((Data!$K$58*2.54)*(Data!$V$60+Data!$V$61*($A122/1000)+Data!$V$62*($A122/1000)^2+Data!$V$63*($A122/1000)^3+Data!$V$64*($A122/1000)^4+Data!$V$65*($A122/1000)^5+Data!$V$66*($A122/1000)^6+Data!$V$67*($A122/1000)^7))))</f>
        <v>5.9467636402127932E-2</v>
      </c>
    </row>
    <row r="123" spans="1:3" x14ac:dyDescent="0.3">
      <c r="A123">
        <f>8.06449*(29979200000/1000000000)</f>
        <v>241.76695860800001</v>
      </c>
      <c r="B123">
        <v>0.78559999999999997</v>
      </c>
      <c r="C123">
        <f>(-1*B123+1/EXP((Data!$K$58*2.54)*(Data!$V$60+Data!$V$61*($A123/1000)+Data!$V$62*($A123/1000)^2+Data!$V$63*($A123/1000)^3+Data!$V$64*($A123/1000)^4+Data!$V$65*($A123/1000)^5+Data!$V$66*($A123/1000)^6+Data!$V$67*($A123/1000)^7)))</f>
        <v>8.9446976848462478E-2</v>
      </c>
    </row>
    <row r="124" spans="1:3" x14ac:dyDescent="0.3">
      <c r="A124">
        <f>8.114893*(29979200000/1000000000)</f>
        <v>243.27800022560001</v>
      </c>
      <c r="B124">
        <v>0.75777000000000005</v>
      </c>
      <c r="C124">
        <f>(-1*B124+1/EXP((Data!$K$58*2.54)*(Data!$V$60+Data!$V$61*($A124/1000)+Data!$V$62*($A124/1000)^2+Data!$V$63*($A124/1000)^3+Data!$V$64*($A124/1000)^4+Data!$V$65*($A124/1000)^5+Data!$V$66*($A124/1000)^6+Data!$V$67*($A124/1000)^7)))</f>
        <v>0.11640943169657203</v>
      </c>
    </row>
    <row r="125" spans="1:3" x14ac:dyDescent="0.3">
      <c r="A125">
        <f>8.165296*(29979200000/1000000000)</f>
        <v>244.78904184319998</v>
      </c>
      <c r="B125">
        <v>0.73241999999999996</v>
      </c>
      <c r="C125">
        <f>(-1*B125+1/EXP((Data!$K$58*2.54)*(Data!$V$60+Data!$V$61*($A125/1000)+Data!$V$62*($A125/1000)^2+Data!$V$63*($A125/1000)^3+Data!$V$64*($A125/1000)^4+Data!$V$65*($A125/1000)^5+Data!$V$66*($A125/1000)^6+Data!$V$67*($A125/1000)^7)))</f>
        <v>0.14089499235002167</v>
      </c>
    </row>
    <row r="126" spans="1:3" x14ac:dyDescent="0.3">
      <c r="A126">
        <f>8.215699*(29979200000/1000000000)</f>
        <v>246.30008346080001</v>
      </c>
      <c r="B126">
        <v>0.7117</v>
      </c>
      <c r="C126">
        <f>(-1*B126+1/EXP((Data!$K$58*2.54)*(Data!$V$60+Data!$V$61*($A126/1000)+Data!$V$62*($A126/1000)^2+Data!$V$63*($A126/1000)^3+Data!$V$64*($A126/1000)^4+Data!$V$65*($A126/1000)^5+Data!$V$66*($A126/1000)^6+Data!$V$67*($A126/1000)^7)))</f>
        <v>0.16075365023444854</v>
      </c>
    </row>
    <row r="127" spans="1:3" x14ac:dyDescent="0.3">
      <c r="A127">
        <f>8.266102*(29979200000/1000000000)</f>
        <v>247.81112507839998</v>
      </c>
      <c r="B127">
        <v>0.69677999999999995</v>
      </c>
      <c r="C127">
        <f>(-1*B127+1/EXP((Data!$K$58*2.54)*(Data!$V$60+Data!$V$61*($A127/1000)+Data!$V$62*($A127/1000)^2+Data!$V$63*($A127/1000)^3+Data!$V$64*($A127/1000)^4+Data!$V$65*($A127/1000)^5+Data!$V$66*($A127/1000)^6+Data!$V$67*($A127/1000)^7)))</f>
        <v>0.17481539679744873</v>
      </c>
    </row>
    <row r="128" spans="1:3" x14ac:dyDescent="0.3">
      <c r="A128">
        <f>8.316505*(29979200000/1000000000)</f>
        <v>249.32216669600001</v>
      </c>
      <c r="B128">
        <v>0.68857000000000002</v>
      </c>
      <c r="C128">
        <f>(-1*B128+1/EXP((Data!$K$58*2.54)*(Data!$V$60+Data!$V$61*($A128/1000)+Data!$V$62*($A128/1000)^2+Data!$V$63*($A128/1000)^3+Data!$V$64*($A128/1000)^4+Data!$V$65*($A128/1000)^5+Data!$V$66*($A128/1000)^6+Data!$V$67*($A128/1000)^7)))</f>
        <v>0.18217022350846446</v>
      </c>
    </row>
    <row r="129" spans="1:3" x14ac:dyDescent="0.3">
      <c r="A129">
        <f>8.366908*(29979200000/1000000000)</f>
        <v>250.83320831360001</v>
      </c>
      <c r="B129">
        <v>0.68652999999999997</v>
      </c>
      <c r="C129">
        <f>(-1*B129+1/EXP((Data!$K$58*2.54)*(Data!$V$60+Data!$V$61*($A129/1000)+Data!$V$62*($A129/1000)^2+Data!$V$63*($A129/1000)^3+Data!$V$64*($A129/1000)^4+Data!$V$65*($A129/1000)^5+Data!$V$66*($A129/1000)^6+Data!$V$67*($A129/1000)^7)))</f>
        <v>0.18335812185867262</v>
      </c>
    </row>
    <row r="130" spans="1:3" x14ac:dyDescent="0.3">
      <c r="A130">
        <f>8.417311*(29979200000/1000000000)</f>
        <v>252.34424993119998</v>
      </c>
      <c r="B130">
        <v>0.68967000000000001</v>
      </c>
      <c r="C130">
        <f>(-1*B130+1/EXP((Data!$K$58*2.54)*(Data!$V$60+Data!$V$61*($A130/1000)+Data!$V$62*($A130/1000)^2+Data!$V$63*($A130/1000)^3+Data!$V$64*($A130/1000)^4+Data!$V$65*($A130/1000)^5+Data!$V$66*($A130/1000)^6+Data!$V$67*($A130/1000)^7)))</f>
        <v>0.17936908336087265</v>
      </c>
    </row>
    <row r="131" spans="1:3" x14ac:dyDescent="0.3">
      <c r="A131">
        <f>8.467714*(29979200000/1000000000)</f>
        <v>253.85529154880001</v>
      </c>
      <c r="B131">
        <v>0.69928000000000001</v>
      </c>
      <c r="C131">
        <f>(-1*B131+1/EXP((Data!$K$58*2.54)*(Data!$V$60+Data!$V$61*($A131/1000)+Data!$V$62*($A131/1000)^2+Data!$V$63*($A131/1000)^3+Data!$V$64*($A131/1000)^4+Data!$V$65*($A131/1000)^5+Data!$V$66*($A131/1000)^6+Data!$V$67*($A131/1000)^7)))</f>
        <v>0.16891309954937705</v>
      </c>
    </row>
    <row r="132" spans="1:3" x14ac:dyDescent="0.3">
      <c r="A132">
        <f>8.518117*(29979200000/1000000000)</f>
        <v>255.36633316639998</v>
      </c>
      <c r="B132">
        <v>0.71494999999999997</v>
      </c>
      <c r="C132">
        <f>(-1*B132+1/EXP((Data!$K$58*2.54)*(Data!$V$60+Data!$V$61*($A132/1000)+Data!$V$62*($A132/1000)^2+Data!$V$63*($A132/1000)^3+Data!$V$64*($A132/1000)^4+Data!$V$65*($A132/1000)^5+Data!$V$66*($A132/1000)^6+Data!$V$67*($A132/1000)^7)))</f>
        <v>0.15240016197990036</v>
      </c>
    </row>
    <row r="133" spans="1:3" x14ac:dyDescent="0.3">
      <c r="A133">
        <f>8.56852*(29979200000/1000000000)</f>
        <v>256.87737478400004</v>
      </c>
      <c r="B133">
        <v>0.73563999999999996</v>
      </c>
      <c r="C133">
        <f>(-1*B133+1/EXP((Data!$K$58*2.54)*(Data!$V$60+Data!$V$61*($A133/1000)+Data!$V$62*($A133/1000)^2+Data!$V$63*($A133/1000)^3+Data!$V$64*($A133/1000)^4+Data!$V$65*($A133/1000)^5+Data!$V$66*($A133/1000)^6+Data!$V$67*($A133/1000)^7)))</f>
        <v>0.13087026222945075</v>
      </c>
    </row>
    <row r="134" spans="1:3" x14ac:dyDescent="0.3">
      <c r="A134">
        <f>8.618923*(29979200000/1000000000)</f>
        <v>258.38841640160001</v>
      </c>
      <c r="B134">
        <v>0.75780000000000003</v>
      </c>
      <c r="C134">
        <f>(-1*B134+1/EXP((Data!$K$58*2.54)*(Data!$V$60+Data!$V$61*($A134/1000)+Data!$V$62*($A134/1000)^2+Data!$V$63*($A134/1000)^3+Data!$V$64*($A134/1000)^4+Data!$V$65*($A134/1000)^5+Data!$V$66*($A134/1000)^6+Data!$V$67*($A134/1000)^7)))</f>
        <v>0.1078733918962208</v>
      </c>
    </row>
    <row r="135" spans="1:3" x14ac:dyDescent="0.3">
      <c r="A135">
        <f>8.669326*(29979200000/1000000000)</f>
        <v>259.89945801919998</v>
      </c>
      <c r="B135">
        <v>0.78030999999999995</v>
      </c>
      <c r="C135">
        <f>(-1*B135+1/EXP((Data!$K$58*2.54)*(Data!$V$60+Data!$V$61*($A135/1000)+Data!$V$62*($A135/1000)^2+Data!$V$63*($A135/1000)^3+Data!$V$64*($A135/1000)^4+Data!$V$65*($A135/1000)^5+Data!$V$66*($A135/1000)^6+Data!$V$67*($A135/1000)^7)))</f>
        <v>8.4529542599480201E-2</v>
      </c>
    </row>
    <row r="136" spans="1:3" x14ac:dyDescent="0.3">
      <c r="A136">
        <f>8.719729*(29979200000/1000000000)</f>
        <v>261.41049963680001</v>
      </c>
      <c r="B136">
        <v>0.80439000000000005</v>
      </c>
      <c r="C136">
        <f>(-1*B136+1/EXP((Data!$K$58*2.54)*(Data!$V$60+Data!$V$61*($A136/1000)+Data!$V$62*($A136/1000)^2+Data!$V$63*($A136/1000)^3+Data!$V$64*($A136/1000)^4+Data!$V$65*($A136/1000)^5+Data!$V$66*($A136/1000)^6+Data!$V$67*($A136/1000)^7)))</f>
        <v>5.9618705979467723E-2</v>
      </c>
    </row>
    <row r="137" spans="1:3" x14ac:dyDescent="0.3">
      <c r="A137">
        <f>8.770132*(29979200000/1000000000)</f>
        <v>262.92154125439998</v>
      </c>
      <c r="B137">
        <v>0.82694000000000001</v>
      </c>
      <c r="C137">
        <f>(-1*B137+1/EXP((Data!$K$58*2.54)*(Data!$V$60+Data!$V$61*($A137/1000)+Data!$V$62*($A137/1000)^2+Data!$V$63*($A137/1000)^3+Data!$V$64*($A137/1000)^4+Data!$V$65*($A137/1000)^5+Data!$V$66*($A137/1000)^6+Data!$V$67*($A137/1000)^7)))</f>
        <v>3.6240873697285125E-2</v>
      </c>
    </row>
    <row r="138" spans="1:3" x14ac:dyDescent="0.3">
      <c r="A138">
        <f>8.820535*(29979200000/1000000000)</f>
        <v>264.43258287199995</v>
      </c>
      <c r="B138">
        <v>0.84075999999999995</v>
      </c>
      <c r="C138">
        <f>(-1*B138+1/EXP((Data!$K$58*2.54)*(Data!$V$60+Data!$V$61*($A138/1000)+Data!$V$62*($A138/1000)^2+Data!$V$63*($A138/1000)^3+Data!$V$64*($A138/1000)^4+Data!$V$65*($A138/1000)^5+Data!$V$66*($A138/1000)^6+Data!$V$67*($A138/1000)^7)))</f>
        <v>2.1596037434790549E-2</v>
      </c>
    </row>
    <row r="139" spans="1:3" x14ac:dyDescent="0.3">
      <c r="A139">
        <f>8.870938*(29979200000/1000000000)</f>
        <v>265.94362448959998</v>
      </c>
      <c r="B139">
        <v>0.84323000000000004</v>
      </c>
      <c r="C139">
        <f>(-1*B139+1/EXP((Data!$K$58*2.54)*(Data!$V$60+Data!$V$61*($A139/1000)+Data!$V$62*($A139/1000)^2+Data!$V$63*($A139/1000)^3+Data!$V$64*($A139/1000)^4+Data!$V$65*($A139/1000)^5+Data!$V$66*($A139/1000)^6+Data!$V$67*($A139/1000)^7)))</f>
        <v>1.8304188894493589E-2</v>
      </c>
    </row>
    <row r="140" spans="1:3" x14ac:dyDescent="0.3">
      <c r="A140">
        <f>8.921341*(29979200000/1000000000)</f>
        <v>267.45466610720001</v>
      </c>
      <c r="B140">
        <v>0.83620000000000005</v>
      </c>
      <c r="C140">
        <f>(-1*B140+1/EXP((Data!$K$58*2.54)*(Data!$V$60+Data!$V$61*($A140/1000)+Data!$V$62*($A140/1000)^2+Data!$V$63*($A140/1000)^3+Data!$V$64*($A140/1000)^4+Data!$V$65*($A140/1000)^5+Data!$V$66*($A140/1000)^6+Data!$V$67*($A140/1000)^7)))</f>
        <v>2.4515319799450319E-2</v>
      </c>
    </row>
    <row r="141" spans="1:3" x14ac:dyDescent="0.3">
      <c r="A141">
        <f>8.971744*(29979200000/1000000000)</f>
        <v>268.96570772480004</v>
      </c>
      <c r="B141">
        <v>0.81969999999999998</v>
      </c>
      <c r="C141">
        <f>(-1*B141+1/EXP((Data!$K$58*2.54)*(Data!$V$60+Data!$V$61*($A141/1000)+Data!$V$62*($A141/1000)^2+Data!$V$63*($A141/1000)^3+Data!$V$64*($A141/1000)^4+Data!$V$65*($A141/1000)^5+Data!$V$66*($A141/1000)^6+Data!$V$67*($A141/1000)^7)))</f>
        <v>4.019942189315906E-2</v>
      </c>
    </row>
    <row r="142" spans="1:3" x14ac:dyDescent="0.3">
      <c r="A142">
        <f>9.022147*(29979200000/1000000000)</f>
        <v>270.47674934240001</v>
      </c>
      <c r="B142">
        <v>0.79525000000000001</v>
      </c>
      <c r="C142">
        <f>(-1*B142+1/EXP((Data!$K$58*2.54)*(Data!$V$60+Data!$V$61*($A142/1000)+Data!$V$62*($A142/1000)^2+Data!$V$63*($A142/1000)^3+Data!$V$64*($A142/1000)^4+Data!$V$65*($A142/1000)^5+Data!$V$66*($A142/1000)^6+Data!$V$67*($A142/1000)^7)))</f>
        <v>6.383648693945676E-2</v>
      </c>
    </row>
    <row r="143" spans="1:3" x14ac:dyDescent="0.3">
      <c r="A143">
        <f>9.07255*(29979200000/1000000000)</f>
        <v>271.98779095999998</v>
      </c>
      <c r="B143">
        <v>0.76676</v>
      </c>
      <c r="C143">
        <f>(-1*B143+1/EXP((Data!$K$58*2.54)*(Data!$V$60+Data!$V$61*($A143/1000)+Data!$V$62*($A143/1000)^2+Data!$V$63*($A143/1000)^3+Data!$V$64*($A143/1000)^4+Data!$V$65*($A143/1000)^5+Data!$V$66*($A143/1000)^6+Data!$V$67*($A143/1000)^7)))</f>
        <v>9.1516506722416291E-2</v>
      </c>
    </row>
    <row r="144" spans="1:3" x14ac:dyDescent="0.3">
      <c r="A144">
        <f>9.122953*(29979200000/1000000000)</f>
        <v>273.49883257760001</v>
      </c>
      <c r="B144">
        <v>0.73717999999999995</v>
      </c>
      <c r="C144">
        <f>(-1*B144+1/EXP((Data!$K$58*2.54)*(Data!$V$60+Data!$V$61*($A144/1000)+Data!$V$62*($A144/1000)^2+Data!$V$63*($A144/1000)^3+Data!$V$64*($A144/1000)^4+Data!$V$65*($A144/1000)^5+Data!$V$66*($A144/1000)^6+Data!$V$67*($A144/1000)^7)))</f>
        <v>0.12028947304624371</v>
      </c>
    </row>
    <row r="145" spans="1:3" x14ac:dyDescent="0.3">
      <c r="A145">
        <f>9.173356*(29979200000/1000000000)</f>
        <v>275.00987419519998</v>
      </c>
      <c r="B145">
        <v>0.70748999999999995</v>
      </c>
      <c r="C145">
        <f>(-1*B145+1/EXP((Data!$K$58*2.54)*(Data!$V$60+Data!$V$61*($A145/1000)+Data!$V$62*($A145/1000)^2+Data!$V$63*($A145/1000)^3+Data!$V$64*($A145/1000)^4+Data!$V$65*($A145/1000)^5+Data!$V$66*($A145/1000)^6+Data!$V$67*($A145/1000)^7)))</f>
        <v>0.14917537773517664</v>
      </c>
    </row>
    <row r="146" spans="1:3" x14ac:dyDescent="0.3">
      <c r="A146">
        <f>9.223759*(29979200000/1000000000)</f>
        <v>276.52091581280001</v>
      </c>
      <c r="B146">
        <v>0.67625000000000002</v>
      </c>
      <c r="C146">
        <f>(-1*B146+1/EXP((Data!$K$58*2.54)*(Data!$V$60+Data!$V$61*($A146/1000)+Data!$V$62*($A146/1000)^2+Data!$V$63*($A146/1000)^3+Data!$V$64*($A146/1000)^4+Data!$V$65*($A146/1000)^5+Data!$V$66*($A146/1000)^6+Data!$V$67*($A146/1000)^7)))</f>
        <v>0.17961421263338295</v>
      </c>
    </row>
    <row r="147" spans="1:3" x14ac:dyDescent="0.3">
      <c r="A147">
        <f>9.274162*(29979200000/1000000000)</f>
        <v>278.03195743039998</v>
      </c>
      <c r="B147">
        <v>0.63912999999999998</v>
      </c>
      <c r="C147">
        <f>(-1*B147+1/EXP((Data!$K$58*2.54)*(Data!$V$60+Data!$V$61*($A147/1000)+Data!$V$62*($A147/1000)^2+Data!$V$63*($A147/1000)^3+Data!$V$64*($A147/1000)^4+Data!$V$65*($A147/1000)^5+Data!$V$66*($A147/1000)^6+Data!$V$67*($A147/1000)^7)))</f>
        <v>0.21593596960486117</v>
      </c>
    </row>
    <row r="148" spans="1:3" x14ac:dyDescent="0.3">
      <c r="A148">
        <f>9.324565*(29979200000/1000000000)</f>
        <v>279.54299904799996</v>
      </c>
      <c r="B148">
        <v>0.59813000000000005</v>
      </c>
      <c r="C148">
        <f>(-1*B148+1/EXP((Data!$K$58*2.54)*(Data!$V$60+Data!$V$61*($A148/1000)+Data!$V$62*($A148/1000)^2+Data!$V$63*($A148/1000)^3+Data!$V$64*($A148/1000)^4+Data!$V$65*($A148/1000)^5+Data!$V$66*($A148/1000)^6+Data!$V$67*($A148/1000)^7)))</f>
        <v>0.25614064053333829</v>
      </c>
    </row>
    <row r="149" spans="1:3" x14ac:dyDescent="0.3">
      <c r="A149">
        <f>9.374968*(29979200000/1000000000)</f>
        <v>281.05404066560004</v>
      </c>
      <c r="B149">
        <v>0.55145999999999995</v>
      </c>
      <c r="C149">
        <f>(-1*B149+1/EXP((Data!$K$58*2.54)*(Data!$V$60+Data!$V$61*($A149/1000)+Data!$V$62*($A149/1000)^2+Data!$V$63*($A149/1000)^3+Data!$V$64*($A149/1000)^4+Data!$V$65*($A149/1000)^5+Data!$V$66*($A149/1000)^6+Data!$V$67*($A149/1000)^7)))</f>
        <v>0.30201821732217293</v>
      </c>
    </row>
    <row r="150" spans="1:3" x14ac:dyDescent="0.3">
      <c r="A150">
        <f>9.425371*(29979200000/1000000000)</f>
        <v>282.56508228320001</v>
      </c>
      <c r="B150">
        <v>0.49809999999999999</v>
      </c>
      <c r="C150">
        <f>(-1*B150+1/EXP((Data!$K$58*2.54)*(Data!$V$60+Data!$V$61*($A150/1000)+Data!$V$62*($A150/1000)^2+Data!$V$63*($A150/1000)^3+Data!$V$64*($A150/1000)^4+Data!$V$65*($A150/1000)^5+Data!$V$66*($A150/1000)^6+Data!$V$67*($A150/1000)^7)))</f>
        <v>0.35458869189425413</v>
      </c>
    </row>
    <row r="151" spans="1:3" x14ac:dyDescent="0.3">
      <c r="A151">
        <f>9.475774*(29979200000/1000000000)</f>
        <v>284.07612390080004</v>
      </c>
      <c r="B151">
        <v>0.44180000000000003</v>
      </c>
      <c r="C151">
        <f>(-1*B151+1/EXP((Data!$K$58*2.54)*(Data!$V$60+Data!$V$61*($A151/1000)+Data!$V$62*($A151/1000)^2+Data!$V$63*($A151/1000)^3+Data!$V$64*($A151/1000)^4+Data!$V$65*($A151/1000)^5+Data!$V$66*($A151/1000)^6+Data!$V$67*($A151/1000)^7)))</f>
        <v>0.41010205619190448</v>
      </c>
    </row>
    <row r="152" spans="1:3" x14ac:dyDescent="0.3">
      <c r="A152">
        <f>9.526177*(29979200000/1000000000)</f>
        <v>285.58716551840001</v>
      </c>
      <c r="B152">
        <v>0.38671</v>
      </c>
      <c r="C152">
        <f>(-1*B152+1/EXP((Data!$K$58*2.54)*(Data!$V$60+Data!$V$61*($A152/1000)+Data!$V$62*($A152/1000)^2+Data!$V$63*($A152/1000)^3+Data!$V$64*($A152/1000)^4+Data!$V$65*($A152/1000)^5+Data!$V$66*($A152/1000)^6+Data!$V$67*($A152/1000)^7)))</f>
        <v>0.46440830217678197</v>
      </c>
    </row>
    <row r="153" spans="1:3" x14ac:dyDescent="0.3">
      <c r="A153">
        <f>9.57658*(29979200000/1000000000)</f>
        <v>287.09820713599998</v>
      </c>
      <c r="B153">
        <v>0.33442</v>
      </c>
      <c r="C153">
        <f>(-1*B153+1/EXP((Data!$K$58*2.54)*(Data!$V$60+Data!$V$61*($A153/1000)+Data!$V$62*($A153/1000)^2+Data!$V$63*($A153/1000)^3+Data!$V$64*($A153/1000)^4+Data!$V$65*($A153/1000)^5+Data!$V$66*($A153/1000)^6+Data!$V$67*($A153/1000)^7)))</f>
        <v>0.51591742182978306</v>
      </c>
    </row>
    <row r="154" spans="1:3" x14ac:dyDescent="0.3">
      <c r="A154">
        <f>9.626983*(29979200000/1000000000)</f>
        <v>288.60924875360001</v>
      </c>
      <c r="B154">
        <v>0.28408</v>
      </c>
      <c r="C154">
        <f>(-1*B154+1/EXP((Data!$K$58*2.54)*(Data!$V$60+Data!$V$61*($A154/1000)+Data!$V$62*($A154/1000)^2+Data!$V$63*($A154/1000)^3+Data!$V$64*($A154/1000)^4+Data!$V$65*($A154/1000)^5+Data!$V$66*($A154/1000)^6+Data!$V$67*($A154/1000)^7)))</f>
        <v>0.56547940715094491</v>
      </c>
    </row>
    <row r="155" spans="1:3" x14ac:dyDescent="0.3">
      <c r="A155">
        <f>9.677386*(29979200000/1000000000)</f>
        <v>290.12029037119999</v>
      </c>
      <c r="B155">
        <v>0.23793</v>
      </c>
      <c r="C155">
        <f>(-1*B155+1/EXP((Data!$K$58*2.54)*(Data!$V$60+Data!$V$61*($A155/1000)+Data!$V$62*($A155/1000)^2+Data!$V$63*($A155/1000)^3+Data!$V$64*($A155/1000)^4+Data!$V$65*($A155/1000)^5+Data!$V$66*($A155/1000)^6+Data!$V$67*($A155/1000)^7)))</f>
        <v>0.61085425015935135</v>
      </c>
    </row>
    <row r="156" spans="1:3" x14ac:dyDescent="0.3">
      <c r="A156">
        <f>9.727789*(29979200000/1000000000)</f>
        <v>291.63133198880001</v>
      </c>
      <c r="B156">
        <v>0.19855</v>
      </c>
      <c r="C156">
        <f>(-1*B156+1/EXP((Data!$K$58*2.54)*(Data!$V$60+Data!$V$61*($A156/1000)+Data!$V$62*($A156/1000)^2+Data!$V$63*($A156/1000)^3+Data!$V$64*($A156/1000)^4+Data!$V$65*($A156/1000)^5+Data!$V$66*($A156/1000)^6+Data!$V$67*($A156/1000)^7)))</f>
        <v>0.64946194289303483</v>
      </c>
    </row>
    <row r="157" spans="1:3" x14ac:dyDescent="0.3">
      <c r="A157">
        <f>9.778192*(29979200000/1000000000)</f>
        <v>293.14237360639999</v>
      </c>
      <c r="B157">
        <v>0.16586000000000001</v>
      </c>
      <c r="C157">
        <f>(-1*B157+1/EXP((Data!$K$58*2.54)*(Data!$V$60+Data!$V$61*($A157/1000)+Data!$V$62*($A157/1000)^2+Data!$V$63*($A157/1000)^3+Data!$V$64*($A157/1000)^4+Data!$V$65*($A157/1000)^5+Data!$V$66*($A157/1000)^6+Data!$V$67*($A157/1000)^7)))</f>
        <v>0.68138247740888391</v>
      </c>
    </row>
    <row r="158" spans="1:3" x14ac:dyDescent="0.3">
      <c r="A158">
        <f>9.828595*(29979200000/1000000000)</f>
        <v>294.65341522400001</v>
      </c>
      <c r="B158">
        <v>0.13769000000000001</v>
      </c>
      <c r="C158">
        <f>(-1*B158+1/EXP((Data!$K$58*2.54)*(Data!$V$60+Data!$V$61*($A158/1000)+Data!$V$62*($A158/1000)^2+Data!$V$63*($A158/1000)^3+Data!$V$64*($A158/1000)^4+Data!$V$65*($A158/1000)^5+Data!$V$66*($A158/1000)^6+Data!$V$67*($A158/1000)^7)))</f>
        <v>0.70878584578254644</v>
      </c>
    </row>
    <row r="159" spans="1:3" x14ac:dyDescent="0.3">
      <c r="A159">
        <f>9.878998*(29979200000/1000000000)</f>
        <v>296.16445684160004</v>
      </c>
      <c r="B159">
        <v>0.11219999999999999</v>
      </c>
      <c r="C159">
        <f>(-1*B159+1/EXP((Data!$K$58*2.54)*(Data!$V$60+Data!$V$61*($A159/1000)+Data!$V$62*($A159/1000)^2+Data!$V$63*($A159/1000)^3+Data!$V$64*($A159/1000)^4+Data!$V$65*($A159/1000)^5+Data!$V$66*($A159/1000)^6+Data!$V$67*($A159/1000)^7)))</f>
        <v>0.73351204010833759</v>
      </c>
    </row>
    <row r="160" spans="1:3" x14ac:dyDescent="0.3">
      <c r="A160">
        <f>9.929401*(29979200000/1000000000)</f>
        <v>297.67549845920001</v>
      </c>
      <c r="B160">
        <v>9.0219999999999995E-2</v>
      </c>
      <c r="C160">
        <f>(-1*B160+1/EXP((Data!$K$58*2.54)*(Data!$V$60+Data!$V$61*($A160/1000)+Data!$V$62*($A160/1000)^2+Data!$V$63*($A160/1000)^3+Data!$V$64*($A160/1000)^4+Data!$V$65*($A160/1000)^5+Data!$V$66*($A160/1000)^6+Data!$V$67*($A160/1000)^7)))</f>
        <v>0.75473105249914474</v>
      </c>
    </row>
    <row r="161" spans="1:3" x14ac:dyDescent="0.3">
      <c r="A161">
        <f>9.979804*(29979200000/1000000000)</f>
        <v>299.18654007679999</v>
      </c>
      <c r="B161">
        <v>7.2239999999999999E-2</v>
      </c>
      <c r="C161">
        <f>(-1*B161+1/EXP((Data!$K$58*2.54)*(Data!$V$60+Data!$V$61*($A161/1000)+Data!$V$62*($A161/1000)^2+Data!$V$63*($A161/1000)^3+Data!$V$64*($A161/1000)^4+Data!$V$65*($A161/1000)^5+Data!$V$66*($A161/1000)^6+Data!$V$67*($A161/1000)^7)))</f>
        <v>0.77195287508633637</v>
      </c>
    </row>
    <row r="162" spans="1:3" x14ac:dyDescent="0.3">
      <c r="A162">
        <f>10.030207*(29979200000/1000000000)</f>
        <v>300.69758169440001</v>
      </c>
      <c r="B162">
        <v>5.7630000000000001E-2</v>
      </c>
      <c r="C162">
        <f>(-1*B162+1/EXP((Data!$K$58*2.54)*(Data!$V$60+Data!$V$61*($A162/1000)+Data!$V$62*($A162/1000)^2+Data!$V$63*($A162/1000)^3+Data!$V$64*($A162/1000)^4+Data!$V$65*($A162/1000)^5+Data!$V$66*($A162/1000)^6+Data!$V$67*($A162/1000)^7)))</f>
        <v>0.78580750001966782</v>
      </c>
    </row>
    <row r="163" spans="1:3" x14ac:dyDescent="0.3">
      <c r="A163">
        <f>10.08061*(29979200000/1000000000)</f>
        <v>302.20862331199999</v>
      </c>
      <c r="B163">
        <v>4.5999999999999999E-2</v>
      </c>
      <c r="C163">
        <f>(-1*B163+1/EXP((Data!$K$58*2.54)*(Data!$V$60+Data!$V$61*($A163/1000)+Data!$V$62*($A163/1000)^2+Data!$V$63*($A163/1000)^3+Data!$V$64*($A163/1000)^4+Data!$V$65*($A163/1000)^5+Data!$V$66*($A163/1000)^6+Data!$V$67*($A163/1000)^7)))</f>
        <v>0.79668491946719067</v>
      </c>
    </row>
    <row r="164" spans="1:3" x14ac:dyDescent="0.3">
      <c r="A164">
        <f>10.131013*(29979200000/1000000000)</f>
        <v>303.71966492960001</v>
      </c>
      <c r="B164">
        <v>3.6380000000000003E-2</v>
      </c>
      <c r="C164">
        <f>(-1*B164+1/EXP((Data!$K$58*2.54)*(Data!$V$60+Data!$V$61*($A164/1000)+Data!$V$62*($A164/1000)^2+Data!$V$63*($A164/1000)^3+Data!$V$64*($A164/1000)^4+Data!$V$65*($A164/1000)^5+Data!$V$66*($A164/1000)^6+Data!$V$67*($A164/1000)^7)))</f>
        <v>0.80555512561516085</v>
      </c>
    </row>
    <row r="165" spans="1:3" x14ac:dyDescent="0.3">
      <c r="A165">
        <f>10.181416*(29979200000/1000000000)</f>
        <v>305.23070654719999</v>
      </c>
      <c r="B165">
        <v>2.862E-2</v>
      </c>
      <c r="C165">
        <f>(-1*B165+1/EXP((Data!$K$58*2.54)*(Data!$V$60+Data!$V$61*($A165/1000)+Data!$V$62*($A165/1000)^2+Data!$V$63*($A165/1000)^3+Data!$V$64*($A165/1000)^4+Data!$V$65*($A165/1000)^5+Data!$V$66*($A165/1000)^6+Data!$V$67*($A165/1000)^7)))</f>
        <v>0.8125681106679481</v>
      </c>
    </row>
    <row r="166" spans="1:3" x14ac:dyDescent="0.3">
      <c r="A166">
        <f>10.231819*(29979200000/1000000000)</f>
        <v>306.74174816480001</v>
      </c>
      <c r="B166">
        <v>2.3099999999999999E-2</v>
      </c>
      <c r="C166">
        <f>(-1*B166+1/EXP((Data!$K$58*2.54)*(Data!$V$60+Data!$V$61*($A166/1000)+Data!$V$62*($A166/1000)^2+Data!$V$63*($A166/1000)^3+Data!$V$64*($A166/1000)^4+Data!$V$65*($A166/1000)^5+Data!$V$66*($A166/1000)^6+Data!$V$67*($A166/1000)^7)))</f>
        <v>0.81734386684794502</v>
      </c>
    </row>
    <row r="167" spans="1:3" x14ac:dyDescent="0.3">
      <c r="A167">
        <f>10.282222*(29979200000/1000000000)</f>
        <v>308.25278978239999</v>
      </c>
      <c r="B167">
        <v>1.916E-2</v>
      </c>
      <c r="C167">
        <f>(-1*B167+1/EXP((Data!$K$58*2.54)*(Data!$V$60+Data!$V$61*($A167/1000)+Data!$V$62*($A167/1000)^2+Data!$V$63*($A167/1000)^3+Data!$V$64*($A167/1000)^4+Data!$V$65*($A167/1000)^5+Data!$V$66*($A167/1000)^6+Data!$V$67*($A167/1000)^7)))</f>
        <v>0.82054238639547794</v>
      </c>
    </row>
    <row r="168" spans="1:3" x14ac:dyDescent="0.3">
      <c r="A168">
        <f>10.332625*(29979200000/1000000000)</f>
        <v>309.76383140000002</v>
      </c>
      <c r="B168">
        <v>1.5890000000000001E-2</v>
      </c>
      <c r="C168">
        <f>(-1*B168+1/EXP((Data!$K$58*2.54)*(Data!$V$60+Data!$V$61*($A168/1000)+Data!$V$62*($A168/1000)^2+Data!$V$63*($A168/1000)^3+Data!$V$64*($A168/1000)^4+Data!$V$65*($A168/1000)^5+Data!$V$66*($A168/1000)^6+Data!$V$67*($A168/1000)^7)))</f>
        <v>0.82307366156871697</v>
      </c>
    </row>
    <row r="169" spans="1:3" x14ac:dyDescent="0.3">
      <c r="A169">
        <f>10.383028*(29979200000/1000000000)</f>
        <v>311.27487301760004</v>
      </c>
      <c r="B169">
        <v>1.3639999999999999E-2</v>
      </c>
      <c r="C169">
        <f>(-1*B169+1/EXP((Data!$K$58*2.54)*(Data!$V$60+Data!$V$61*($A169/1000)+Data!$V$62*($A169/1000)^2+Data!$V$63*($A169/1000)^3+Data!$V$64*($A169/1000)^4+Data!$V$65*($A169/1000)^5+Data!$V$66*($A169/1000)^6+Data!$V$67*($A169/1000)^7)))</f>
        <v>0.82458768464358734</v>
      </c>
    </row>
    <row r="170" spans="1:3" x14ac:dyDescent="0.3">
      <c r="A170">
        <f>10.433431*(29979200000/1000000000)</f>
        <v>312.78591463520002</v>
      </c>
      <c r="B170">
        <v>1.196E-2</v>
      </c>
      <c r="C170">
        <f>(-1*B170+1/EXP((Data!$K$58*2.54)*(Data!$V$60+Data!$V$61*($A170/1000)+Data!$V$62*($A170/1000)^2+Data!$V$63*($A170/1000)^3+Data!$V$64*($A170/1000)^4+Data!$V$65*($A170/1000)^5+Data!$V$66*($A170/1000)^6+Data!$V$67*($A170/1000)^7)))</f>
        <v>0.82553444791368136</v>
      </c>
    </row>
    <row r="171" spans="1:3" x14ac:dyDescent="0.3">
      <c r="A171">
        <f>10.483834*(29979200000/1000000000)</f>
        <v>314.29695625280004</v>
      </c>
      <c r="B171">
        <v>1.031E-2</v>
      </c>
      <c r="C171">
        <f>(-1*B171+1/EXP((Data!$K$58*2.54)*(Data!$V$60+Data!$V$61*($A171/1000)+Data!$V$62*($A171/1000)^2+Data!$V$63*($A171/1000)^3+Data!$V$64*($A171/1000)^4+Data!$V$65*($A171/1000)^5+Data!$V$66*($A171/1000)^6+Data!$V$67*($A171/1000)^7)))</f>
        <v>0.82645394369016933</v>
      </c>
    </row>
    <row r="172" spans="1:3" x14ac:dyDescent="0.3">
      <c r="A172">
        <f>10.534237*(29979200000/1000000000)</f>
        <v>315.80799787040002</v>
      </c>
      <c r="B172">
        <v>8.8100000000000001E-3</v>
      </c>
      <c r="C172">
        <f>(-1*B172+1/EXP((Data!$K$58*2.54)*(Data!$V$60+Data!$V$61*($A172/1000)+Data!$V$62*($A172/1000)^2+Data!$V$63*($A172/1000)^3+Data!$V$64*($A172/1000)^4+Data!$V$65*($A172/1000)^5+Data!$V$66*($A172/1000)^6+Data!$V$67*($A172/1000)^7)))</f>
        <v>0.82722616430171392</v>
      </c>
    </row>
    <row r="173" spans="1:3" x14ac:dyDescent="0.3">
      <c r="A173">
        <f>10.58464*(29979200000/1000000000)</f>
        <v>317.31903948799999</v>
      </c>
      <c r="B173">
        <v>7.0299999999999998E-3</v>
      </c>
      <c r="C173">
        <f>(-1*B173+1/EXP((Data!$K$58*2.54)*(Data!$V$60+Data!$V$61*($A173/1000)+Data!$V$62*($A173/1000)^2+Data!$V$63*($A173/1000)^3+Data!$V$64*($A173/1000)^4+Data!$V$65*($A173/1000)^5+Data!$V$66*($A173/1000)^6+Data!$V$67*($A173/1000)^7)))</f>
        <v>0.82828110209438122</v>
      </c>
    </row>
    <row r="174" spans="1:3" x14ac:dyDescent="0.3">
      <c r="A174">
        <f>10.635043*(29979200000/1000000000)</f>
        <v>318.83008110560002</v>
      </c>
      <c r="B174">
        <v>5.7299999999999999E-3</v>
      </c>
      <c r="C174">
        <f>(-1*B174+1/EXP((Data!$K$58*2.54)*(Data!$V$60+Data!$V$61*($A174/1000)+Data!$V$62*($A174/1000)^2+Data!$V$63*($A174/1000)^3+Data!$V$64*($A174/1000)^4+Data!$V$65*($A174/1000)^5+Data!$V$66*($A174/1000)^6+Data!$V$67*($A174/1000)^7)))</f>
        <v>0.82885874943155557</v>
      </c>
    </row>
    <row r="175" spans="1:3" x14ac:dyDescent="0.3">
      <c r="A175">
        <f>10.685446*(29979200000/1000000000)</f>
        <v>320.34112272319999</v>
      </c>
      <c r="B175">
        <v>5.4299999999999999E-3</v>
      </c>
      <c r="C175">
        <f>(-1*B175+1/EXP((Data!$K$58*2.54)*(Data!$V$60+Data!$V$61*($A175/1000)+Data!$V$62*($A175/1000)^2+Data!$V$63*($A175/1000)^3+Data!$V$64*($A175/1000)^4+Data!$V$65*($A175/1000)^5+Data!$V$66*($A175/1000)^6+Data!$V$67*($A175/1000)^7)))</f>
        <v>0.82843909869385346</v>
      </c>
    </row>
    <row r="176" spans="1:3" x14ac:dyDescent="0.3">
      <c r="A176">
        <f>10.735849*(29979200000/1000000000)</f>
        <v>321.85216434080002</v>
      </c>
      <c r="B176">
        <v>4.7099999999999998E-3</v>
      </c>
      <c r="C176">
        <f>(-1*B176+1/EXP((Data!$K$58*2.54)*(Data!$V$60+Data!$V$61*($A176/1000)+Data!$V$62*($A176/1000)^2+Data!$V$63*($A176/1000)^3+Data!$V$64*($A176/1000)^4+Data!$V$65*($A176/1000)^5+Data!$V$66*($A176/1000)^6+Data!$V$67*($A176/1000)^7)))</f>
        <v>0.8284421422790369</v>
      </c>
    </row>
    <row r="177" spans="1:3" x14ac:dyDescent="0.3">
      <c r="A177">
        <f>10.786252*(29979200000/1000000000)</f>
        <v>323.36320595840004</v>
      </c>
      <c r="B177">
        <v>4.0699999999999998E-3</v>
      </c>
      <c r="C177">
        <f>(-1*B177+1/EXP((Data!$K$58*2.54)*(Data!$V$60+Data!$V$61*($A177/1000)+Data!$V$62*($A177/1000)^2+Data!$V$63*($A177/1000)^3+Data!$V$64*($A177/1000)^4+Data!$V$65*($A177/1000)^5+Data!$V$66*($A177/1000)^6+Data!$V$67*($A177/1000)^7)))</f>
        <v>0.82836787260192979</v>
      </c>
    </row>
    <row r="178" spans="1:3" x14ac:dyDescent="0.3">
      <c r="A178">
        <f>10.836655*(29979200000/1000000000)</f>
        <v>324.87424757600002</v>
      </c>
      <c r="B178">
        <v>4.0400000000000002E-3</v>
      </c>
      <c r="C178">
        <f>(-1*B178+1/EXP((Data!$K$58*2.54)*(Data!$V$60+Data!$V$61*($A178/1000)+Data!$V$62*($A178/1000)^2+Data!$V$63*($A178/1000)^3+Data!$V$64*($A178/1000)^4+Data!$V$65*($A178/1000)^5+Data!$V$66*($A178/1000)^6+Data!$V$67*($A178/1000)^7)))</f>
        <v>0.82768628209433204</v>
      </c>
    </row>
    <row r="179" spans="1:3" x14ac:dyDescent="0.3">
      <c r="A179">
        <f>10.887058*(29979200000/1000000000)</f>
        <v>326.38528919360004</v>
      </c>
      <c r="B179">
        <v>3.8500000000000001E-3</v>
      </c>
      <c r="C179">
        <f>(-1*B179+1/EXP((Data!$K$58*2.54)*(Data!$V$60+Data!$V$61*($A179/1000)+Data!$V$62*($A179/1000)^2+Data!$V$63*($A179/1000)^3+Data!$V$64*($A179/1000)^4+Data!$V$65*($A179/1000)^5+Data!$V$66*($A179/1000)^6+Data!$V$67*($A179/1000)^7)))</f>
        <v>0.82716736320493633</v>
      </c>
    </row>
    <row r="180" spans="1:3" x14ac:dyDescent="0.3">
      <c r="A180">
        <f>10.937461*(29979200000/1000000000)</f>
        <v>327.89633081120002</v>
      </c>
      <c r="B180">
        <v>3.62E-3</v>
      </c>
      <c r="C180">
        <f>(-1*B180+1/EXP((Data!$K$58*2.54)*(Data!$V$60+Data!$V$61*($A180/1000)+Data!$V$62*($A180/1000)^2+Data!$V$63*($A180/1000)^3+Data!$V$64*($A180/1000)^4+Data!$V$65*($A180/1000)^5+Data!$V$66*($A180/1000)^6+Data!$V$67*($A180/1000)^7)))</f>
        <v>0.82669110839924353</v>
      </c>
    </row>
    <row r="181" spans="1:3" x14ac:dyDescent="0.3">
      <c r="A181">
        <f>10.987864*(29979200000/1000000000)</f>
        <v>329.40737242880004</v>
      </c>
      <c r="B181">
        <v>3.7100000000000002E-3</v>
      </c>
      <c r="C181">
        <f>(-1*B181+1/EXP((Data!$K$58*2.54)*(Data!$V$60+Data!$V$61*($A181/1000)+Data!$V$62*($A181/1000)^2+Data!$V$63*($A181/1000)^3+Data!$V$64*($A181/1000)^4+Data!$V$65*($A181/1000)^5+Data!$V$66*($A181/1000)^6+Data!$V$67*($A181/1000)^7)))</f>
        <v>0.82589751015947943</v>
      </c>
    </row>
    <row r="182" spans="1:3" x14ac:dyDescent="0.3">
      <c r="A182">
        <f>11.038267*(29979200000/1000000000)</f>
        <v>330.91841404640002</v>
      </c>
      <c r="B182">
        <v>3.6900000000000001E-3</v>
      </c>
      <c r="C182">
        <f>(-1*B182+1/EXP((Data!$K$58*2.54)*(Data!$V$60+Data!$V$61*($A182/1000)+Data!$V$62*($A182/1000)^2+Data!$V$63*($A182/1000)^3+Data!$V$64*($A182/1000)^4+Data!$V$65*($A182/1000)^5+Data!$V$66*($A182/1000)^6+Data!$V$67*($A182/1000)^7)))</f>
        <v>0.82521656098451268</v>
      </c>
    </row>
    <row r="183" spans="1:3" x14ac:dyDescent="0.3">
      <c r="A183">
        <f>11.08868*(29979200000/1000000000)</f>
        <v>332.42975545600001</v>
      </c>
      <c r="B183">
        <v>2.4499999999999999E-3</v>
      </c>
      <c r="C183">
        <f>(-1*B183+1/EXP((Data!$K$58*2.54)*(Data!$V$60+Data!$V$61*($A183/1000)+Data!$V$62*($A183/1000)^2+Data!$V$63*($A183/1000)^3+Data!$V$64*($A183/1000)^4+Data!$V$65*($A183/1000)^5+Data!$V$66*($A183/1000)^6+Data!$V$67*($A183/1000)^7)))</f>
        <v>0.82575811510652808</v>
      </c>
    </row>
    <row r="184" spans="1:3" x14ac:dyDescent="0.3">
      <c r="A184">
        <f>11.139083*(29979200000/1000000000)</f>
        <v>333.94079707360004</v>
      </c>
      <c r="B184">
        <v>2E-3</v>
      </c>
      <c r="C184">
        <f>(-1*B184+1/EXP((Data!$K$58*2.54)*(Data!$V$60+Data!$V$61*($A184/1000)+Data!$V$62*($A184/1000)^2+Data!$V$63*($A184/1000)^3+Data!$V$64*($A184/1000)^4+Data!$V$65*($A184/1000)^5+Data!$V$66*($A184/1000)^6+Data!$V$67*($A184/1000)^7)))</f>
        <v>0.82551244214578989</v>
      </c>
    </row>
    <row r="185" spans="1:3" x14ac:dyDescent="0.3">
      <c r="A185">
        <f>11.189486*(29979200000/1000000000)</f>
        <v>335.45183869120001</v>
      </c>
      <c r="B185">
        <v>1.8699999999999999E-3</v>
      </c>
      <c r="C185">
        <f>(-1*B185+1/EXP((Data!$K$58*2.54)*(Data!$V$60+Data!$V$61*($A185/1000)+Data!$V$62*($A185/1000)^2+Data!$V$63*($A185/1000)^3+Data!$V$64*($A185/1000)^4+Data!$V$65*($A185/1000)^5+Data!$V$66*($A185/1000)^6+Data!$V$67*($A185/1000)^7)))</f>
        <v>0.82494939584401028</v>
      </c>
    </row>
    <row r="186" spans="1:3" x14ac:dyDescent="0.3">
      <c r="A186">
        <f>11.239889*(29979200000/1000000000)</f>
        <v>336.96288030880004</v>
      </c>
      <c r="B186">
        <v>1.5399999999999999E-3</v>
      </c>
      <c r="C186">
        <f>(-1*B186+1/EXP((Data!$K$58*2.54)*(Data!$V$60+Data!$V$61*($A186/1000)+Data!$V$62*($A186/1000)^2+Data!$V$63*($A186/1000)^3+Data!$V$64*($A186/1000)^4+Data!$V$65*($A186/1000)^5+Data!$V$66*($A186/1000)^6+Data!$V$67*($A186/1000)^7)))</f>
        <v>0.82458896876581023</v>
      </c>
    </row>
    <row r="187" spans="1:3" x14ac:dyDescent="0.3">
      <c r="A187">
        <f>11.290292*(29979200000/1000000000)</f>
        <v>338.47392192640001</v>
      </c>
      <c r="B187">
        <v>1.4300000000000001E-3</v>
      </c>
      <c r="C187">
        <f>(-1*B187+1/EXP((Data!$K$58*2.54)*(Data!$V$60+Data!$V$61*($A187/1000)+Data!$V$62*($A187/1000)^2+Data!$V$63*($A187/1000)^3+Data!$V$64*($A187/1000)^4+Data!$V$65*($A187/1000)^5+Data!$V$66*($A187/1000)^6+Data!$V$67*($A187/1000)^7)))</f>
        <v>0.82401115349204601</v>
      </c>
    </row>
    <row r="188" spans="1:3" x14ac:dyDescent="0.3">
      <c r="A188">
        <f>11.340695*(29979200000/1000000000)</f>
        <v>339.98496354399998</v>
      </c>
      <c r="B188">
        <v>1.4599999999999999E-3</v>
      </c>
      <c r="C188">
        <f>(-1*B188+1/EXP((Data!$K$58*2.54)*(Data!$V$60+Data!$V$61*($A188/1000)+Data!$V$62*($A188/1000)^2+Data!$V$63*($A188/1000)^3+Data!$V$64*($A188/1000)^4+Data!$V$65*($A188/1000)^5+Data!$V$66*($A188/1000)^6+Data!$V$67*($A188/1000)^7)))</f>
        <v>0.82329594261972761</v>
      </c>
    </row>
    <row r="189" spans="1:3" x14ac:dyDescent="0.3">
      <c r="A189">
        <f>11.391098*(29979200000/1000000000)</f>
        <v>341.49600516159995</v>
      </c>
      <c r="B189">
        <v>1.3699999999999999E-3</v>
      </c>
      <c r="C189">
        <f>(-1*B189+1/EXP((Data!$K$58*2.54)*(Data!$V$60+Data!$V$61*($A189/1000)+Data!$V$62*($A189/1000)^2+Data!$V$63*($A189/1000)^3+Data!$V$64*($A189/1000)^4+Data!$V$65*($A189/1000)^5+Data!$V$66*($A189/1000)^6+Data!$V$67*($A189/1000)^7)))</f>
        <v>0.82270332876193986</v>
      </c>
    </row>
    <row r="190" spans="1:3" x14ac:dyDescent="0.3">
      <c r="A190">
        <f>11.441501*(29979200000/1000000000)</f>
        <v>343.00704677919998</v>
      </c>
      <c r="B190">
        <v>1.39E-3</v>
      </c>
      <c r="C190">
        <f>(-1*B190+1/EXP((Data!$K$58*2.54)*(Data!$V$60+Data!$V$61*($A190/1000)+Data!$V$62*($A190/1000)^2+Data!$V$63*($A190/1000)^3+Data!$V$64*($A190/1000)^4+Data!$V$65*($A190/1000)^5+Data!$V$66*($A190/1000)^6+Data!$V$67*($A190/1000)^7)))</f>
        <v>0.82200330454776216</v>
      </c>
    </row>
    <row r="191" spans="1:3" x14ac:dyDescent="0.3">
      <c r="A191">
        <f>11.491904*(29979200000/1000000000)</f>
        <v>344.51808839680001</v>
      </c>
      <c r="B191">
        <v>1.1299999999999999E-3</v>
      </c>
      <c r="C191">
        <f>(-1*B191+1/EXP((Data!$K$58*2.54)*(Data!$V$60+Data!$V$61*($A191/1000)+Data!$V$62*($A191/1000)^2+Data!$V$63*($A191/1000)^3+Data!$V$64*($A191/1000)^4+Data!$V$65*($A191/1000)^5+Data!$V$66*($A191/1000)^6+Data!$V$67*($A191/1000)^7)))</f>
        <v>0.82158586262219047</v>
      </c>
    </row>
    <row r="192" spans="1:3" x14ac:dyDescent="0.3">
      <c r="A192">
        <f>11.542307*(29979200000/1000000000)</f>
        <v>346.02913001440004</v>
      </c>
      <c r="B192">
        <v>8.8000000000000003E-4</v>
      </c>
      <c r="C192">
        <f>(-1*B192+1/EXP((Data!$K$58*2.54)*(Data!$V$60+Data!$V$61*($A192/1000)+Data!$V$62*($A192/1000)^2+Data!$V$63*($A192/1000)^3+Data!$V$64*($A192/1000)^4+Data!$V$65*($A192/1000)^5+Data!$V$66*($A192/1000)^6+Data!$V$67*($A192/1000)^7)))</f>
        <v>0.82116099564605782</v>
      </c>
    </row>
    <row r="193" spans="1:3" x14ac:dyDescent="0.3">
      <c r="A193">
        <f>11.59271*(29979200000/1000000000)</f>
        <v>347.54017163200001</v>
      </c>
      <c r="B193">
        <v>7.5000000000000002E-4</v>
      </c>
      <c r="C193">
        <f>(-1*B193+1/EXP((Data!$K$58*2.54)*(Data!$V$60+Data!$V$61*($A193/1000)+Data!$V$62*($A193/1000)^2+Data!$V$63*($A193/1000)^3+Data!$V$64*($A193/1000)^4+Data!$V$65*($A193/1000)^5+Data!$V$66*($A193/1000)^6+Data!$V$67*($A193/1000)^7)))</f>
        <v>0.82061869629595618</v>
      </c>
    </row>
    <row r="194" spans="1:3" x14ac:dyDescent="0.3">
      <c r="A194">
        <f>11.643113*(29979200000/1000000000)</f>
        <v>349.05121324959998</v>
      </c>
      <c r="B194">
        <v>6.6E-4</v>
      </c>
      <c r="C194">
        <f>(-1*B194+1/EXP((Data!$K$58*2.54)*(Data!$V$60+Data!$V$61*($A194/1000)+Data!$V$62*($A194/1000)^2+Data!$V$63*($A194/1000)^3+Data!$V$64*($A194/1000)^4+Data!$V$65*($A194/1000)^5+Data!$V$66*($A194/1000)^6+Data!$V$67*($A194/1000)^7)))</f>
        <v>0.82003895726415954</v>
      </c>
    </row>
    <row r="195" spans="1:3" x14ac:dyDescent="0.3">
      <c r="A195">
        <f>11.693516*(29979200000/1000000000)</f>
        <v>350.56225486720001</v>
      </c>
      <c r="B195">
        <v>4.2000000000000002E-4</v>
      </c>
      <c r="C195">
        <f>(-1*B195+1/EXP((Data!$K$58*2.54)*(Data!$V$60+Data!$V$61*($A195/1000)+Data!$V$62*($A195/1000)^2+Data!$V$63*($A195/1000)^3+Data!$V$64*($A195/1000)^4+Data!$V$65*($A195/1000)^5+Data!$V$66*($A195/1000)^6+Data!$V$67*($A195/1000)^7)))</f>
        <v>0.81961177125854556</v>
      </c>
    </row>
    <row r="196" spans="1:3" x14ac:dyDescent="0.3">
      <c r="A196">
        <f>11.743919*(29979200000/1000000000)</f>
        <v>352.07329648480004</v>
      </c>
      <c r="B196">
        <v>2.1000000000000001E-4</v>
      </c>
      <c r="C196">
        <f>(-1*B196+1/EXP((Data!$K$58*2.54)*(Data!$V$60+Data!$V$61*($A196/1000)+Data!$V$62*($A196/1000)^2+Data!$V$63*($A196/1000)^3+Data!$V$64*($A196/1000)^4+Data!$V$65*($A196/1000)^5+Data!$V$66*($A196/1000)^6+Data!$V$67*($A196/1000)^7)))</f>
        <v>0.81915713100251886</v>
      </c>
    </row>
    <row r="197" spans="1:3" x14ac:dyDescent="0.3">
      <c r="A197">
        <f>11.794322*(29979200000/1000000000)</f>
        <v>353.58433810240001</v>
      </c>
      <c r="B197">
        <v>2.0000000000000001E-4</v>
      </c>
      <c r="C197">
        <f>(-1*B197+1/EXP((Data!$K$58*2.54)*(Data!$V$60+Data!$V$61*($A197/1000)+Data!$V$62*($A197/1000)^2+Data!$V$63*($A197/1000)^3+Data!$V$64*($A197/1000)^4+Data!$V$65*($A197/1000)^5+Data!$V$66*($A197/1000)^6+Data!$V$67*($A197/1000)^7)))</f>
        <v>0.81850502923493484</v>
      </c>
    </row>
    <row r="198" spans="1:3" x14ac:dyDescent="0.3">
      <c r="A198">
        <f>11.844725*(29979200000/1000000000)</f>
        <v>355.09537971999998</v>
      </c>
      <c r="B198">
        <v>6.0000000000000002E-5</v>
      </c>
      <c r="C198">
        <f>(-1*B198+1/EXP((Data!$K$58*2.54)*(Data!$V$60+Data!$V$61*($A198/1000)+Data!$V$62*($A198/1000)^2+Data!$V$63*($A198/1000)^3+Data!$V$64*($A198/1000)^4+Data!$V$65*($A198/1000)^5+Data!$V$66*($A198/1000)^6+Data!$V$67*($A198/1000)^7)))</f>
        <v>0.81798545871002259</v>
      </c>
    </row>
    <row r="199" spans="1:3" x14ac:dyDescent="0.3">
      <c r="A199">
        <f>11.895128*(29979200000/1000000000)</f>
        <v>356.60642133759995</v>
      </c>
      <c r="B199">
        <v>0</v>
      </c>
      <c r="C199">
        <f>(-1*B199+1/EXP((Data!$K$58*2.54)*(Data!$V$60+Data!$V$61*($A199/1000)+Data!$V$62*($A199/1000)^2+Data!$V$63*($A199/1000)^3+Data!$V$64*($A199/1000)^4+Data!$V$65*($A199/1000)^5+Data!$V$66*($A199/1000)^6+Data!$V$67*($A199/1000)^7)))</f>
        <v>0.81738841219731029</v>
      </c>
    </row>
    <row r="200" spans="1:3" x14ac:dyDescent="0.3">
      <c r="A200">
        <f>11.945531*(29979200000/1000000000)</f>
        <v>358.11746295519998</v>
      </c>
      <c r="B200">
        <v>0</v>
      </c>
      <c r="C200">
        <f>(-1*B200+1/EXP((Data!$K$58*2.54)*(Data!$V$60+Data!$V$61*($A200/1000)+Data!$V$62*($A200/1000)^2+Data!$V$63*($A200/1000)^3+Data!$V$64*($A200/1000)^4+Data!$V$65*($A200/1000)^5+Data!$V$66*($A200/1000)^6+Data!$V$67*($A200/1000)^7)))</f>
        <v>0.81673388248154888</v>
      </c>
    </row>
    <row r="201" spans="1:3" x14ac:dyDescent="0.3">
      <c r="A201">
        <f>11.995934*(29979200000/1000000000)</f>
        <v>359.62850457280007</v>
      </c>
      <c r="B201">
        <v>0</v>
      </c>
      <c r="C201">
        <f>(-1*B201+1/EXP((Data!$K$58*2.54)*(Data!$V$60+Data!$V$61*($A201/1000)+Data!$V$62*($A201/1000)^2+Data!$V$63*($A201/1000)^3+Data!$V$64*($A201/1000)^4+Data!$V$65*($A201/1000)^5+Data!$V$66*($A201/1000)^6+Data!$V$67*($A201/1000)^7)))</f>
        <v>0.81608186236263758</v>
      </c>
    </row>
    <row r="202" spans="1:3" x14ac:dyDescent="0.3">
      <c r="A202">
        <f>12.046337*(29979200000/1000000000)</f>
        <v>361.13954619040004</v>
      </c>
      <c r="B202">
        <v>4.8000000000000001E-4</v>
      </c>
      <c r="C202">
        <f>(-1*B202+1/EXP((Data!$K$58*2.54)*(Data!$V$60+Data!$V$61*($A202/1000)+Data!$V$62*($A202/1000)^2+Data!$V$63*($A202/1000)^3+Data!$V$64*($A202/1000)^4+Data!$V$65*($A202/1000)^5+Data!$V$66*($A202/1000)^6+Data!$V$67*($A202/1000)^7)))</f>
        <v>0.81495234465554856</v>
      </c>
    </row>
    <row r="203" spans="1:3" x14ac:dyDescent="0.3">
      <c r="A203">
        <f>12.09674*(29979200000/1000000000)</f>
        <v>362.65058780800001</v>
      </c>
      <c r="B203">
        <v>5.9000000000000003E-4</v>
      </c>
      <c r="C203">
        <f>(-1*B203+1/EXP((Data!$K$58*2.54)*(Data!$V$60+Data!$V$61*($A203/1000)+Data!$V$62*($A203/1000)^2+Data!$V$63*($A203/1000)^3+Data!$V$64*($A203/1000)^4+Data!$V$65*($A203/1000)^5+Data!$V$66*($A203/1000)^6+Data!$V$67*($A203/1000)^7)))</f>
        <v>0.81419532219025392</v>
      </c>
    </row>
    <row r="204" spans="1:3" x14ac:dyDescent="0.3">
      <c r="A204">
        <f>12.147143*(29979200000/1000000000)</f>
        <v>364.16162942559998</v>
      </c>
      <c r="B204">
        <v>4.0999999999999999E-4</v>
      </c>
      <c r="C204">
        <f>(-1*B204+1/EXP((Data!$K$58*2.54)*(Data!$V$60+Data!$V$61*($A204/1000)+Data!$V$62*($A204/1000)^2+Data!$V$63*($A204/1000)^3+Data!$V$64*($A204/1000)^4+Data!$V$65*($A204/1000)^5+Data!$V$66*($A204/1000)^6+Data!$V$67*($A204/1000)^7)))</f>
        <v>0.81373078781165042</v>
      </c>
    </row>
    <row r="205" spans="1:3" x14ac:dyDescent="0.3">
      <c r="A205">
        <f>12.197546*(29979200000/1000000000)</f>
        <v>365.67267104320001</v>
      </c>
      <c r="B205">
        <v>3.5E-4</v>
      </c>
      <c r="C205">
        <f>(-1*B205+1/EXP((Data!$K$58*2.54)*(Data!$V$60+Data!$V$61*($A205/1000)+Data!$V$62*($A205/1000)^2+Data!$V$63*($A205/1000)^3+Data!$V$64*($A205/1000)^4+Data!$V$65*($A205/1000)^5+Data!$V$66*($A205/1000)^6+Data!$V$67*($A205/1000)^7)))</f>
        <v>0.81314873437948676</v>
      </c>
    </row>
    <row r="206" spans="1:3" x14ac:dyDescent="0.3">
      <c r="A206">
        <f>12.247949*(29979200000/1000000000)</f>
        <v>367.18371266080004</v>
      </c>
      <c r="B206">
        <v>1.7000000000000001E-4</v>
      </c>
      <c r="C206">
        <f>(-1*B206+1/EXP((Data!$K$58*2.54)*(Data!$V$60+Data!$V$61*($A206/1000)+Data!$V$62*($A206/1000)^2+Data!$V$63*($A206/1000)^3+Data!$V$64*($A206/1000)^4+Data!$V$65*($A206/1000)^5+Data!$V$66*($A206/1000)^6+Data!$V$67*($A206/1000)^7)))</f>
        <v>0.81268915476829051</v>
      </c>
    </row>
    <row r="207" spans="1:3" x14ac:dyDescent="0.3">
      <c r="A207">
        <f>12.298352*(29979200000/1000000000)</f>
        <v>368.69475427840001</v>
      </c>
      <c r="B207">
        <v>9.0000000000000006E-5</v>
      </c>
      <c r="C207">
        <f>(-1*B207+1/EXP((Data!$K$58*2.54)*(Data!$V$60+Data!$V$61*($A207/1000)+Data!$V$62*($A207/1000)^2+Data!$V$63*($A207/1000)^3+Data!$V$64*($A207/1000)^4+Data!$V$65*($A207/1000)^5+Data!$V$66*($A207/1000)^6+Data!$V$67*($A207/1000)^7)))</f>
        <v>0.81213204186729537</v>
      </c>
    </row>
    <row r="208" spans="1:3" x14ac:dyDescent="0.3">
      <c r="A208">
        <f>12.348755*(29979200000/1000000000)</f>
        <v>370.20579589599998</v>
      </c>
      <c r="B208">
        <v>9.0000000000000006E-5</v>
      </c>
      <c r="C208">
        <f>(-1*B208+1/EXP((Data!$K$58*2.54)*(Data!$V$60+Data!$V$61*($A208/1000)+Data!$V$62*($A208/1000)^2+Data!$V$63*($A208/1000)^3+Data!$V$64*($A208/1000)^4+Data!$V$65*($A208/1000)^5+Data!$V$66*($A208/1000)^6+Data!$V$67*($A208/1000)^7)))</f>
        <v>0.81149738858036846</v>
      </c>
    </row>
    <row r="209" spans="1:3" x14ac:dyDescent="0.3">
      <c r="A209">
        <f>12.399158*(29979200000/1000000000)</f>
        <v>371.71683751359996</v>
      </c>
      <c r="B209">
        <v>2.9E-4</v>
      </c>
      <c r="C209">
        <f>(-1*B209+1/EXP((Data!$K$58*2.54)*(Data!$V$60+Data!$V$61*($A209/1000)+Data!$V$62*($A209/1000)^2+Data!$V$63*($A209/1000)^3+Data!$V$64*($A209/1000)^4+Data!$V$65*($A209/1000)^5+Data!$V$66*($A209/1000)^6+Data!$V$67*($A209/1000)^7)))</f>
        <v>0.81066518782593844</v>
      </c>
    </row>
    <row r="210" spans="1:3" x14ac:dyDescent="0.3">
      <c r="A210">
        <f>12.449561*(29979200000/1000000000)</f>
        <v>373.22787913120004</v>
      </c>
      <c r="B210">
        <v>4.2999999999999999E-4</v>
      </c>
      <c r="C210">
        <f>(-1*B210+1/EXP((Data!$K$58*2.54)*(Data!$V$60+Data!$V$61*($A210/1000)+Data!$V$62*($A210/1000)^2+Data!$V$63*($A210/1000)^3+Data!$V$64*($A210/1000)^4+Data!$V$65*($A210/1000)^5+Data!$V$66*($A210/1000)^6+Data!$V$67*($A210/1000)^7)))</f>
        <v>0.80989543253692398</v>
      </c>
    </row>
    <row r="211" spans="1:3" x14ac:dyDescent="0.3">
      <c r="A211">
        <f>12.499964*(29979200000/1000000000)</f>
        <v>374.73892074880007</v>
      </c>
      <c r="B211">
        <v>3.6999999999999999E-4</v>
      </c>
      <c r="C211">
        <f>(-1*B211+1/EXP((Data!$K$58*2.54)*(Data!$V$60+Data!$V$61*($A211/1000)+Data!$V$62*($A211/1000)^2+Data!$V$63*($A211/1000)^3+Data!$V$64*($A211/1000)^4+Data!$V$65*($A211/1000)^5+Data!$V$66*($A211/1000)^6+Data!$V$67*($A211/1000)^7)))</f>
        <v>0.80932811566066309</v>
      </c>
    </row>
    <row r="212" spans="1:3" x14ac:dyDescent="0.3">
      <c r="A212">
        <f>12.550367*(29979200000/1000000000)</f>
        <v>376.24996236640004</v>
      </c>
      <c r="B212">
        <v>4.0999999999999999E-4</v>
      </c>
      <c r="C212">
        <f>(-1*B212+1/EXP((Data!$K$58*2.54)*(Data!$V$60+Data!$V$61*($A212/1000)+Data!$V$62*($A212/1000)^2+Data!$V$63*($A212/1000)^3+Data!$V$64*($A212/1000)^4+Data!$V$65*($A212/1000)^5+Data!$V$66*($A212/1000)^6+Data!$V$67*($A212/1000)^7)))</f>
        <v>0.80866323015884067</v>
      </c>
    </row>
    <row r="213" spans="1:3" x14ac:dyDescent="0.3">
      <c r="A213">
        <f>12.60077*(29979200000/1000000000)</f>
        <v>377.76100398400001</v>
      </c>
      <c r="B213">
        <v>4.8999999999999998E-4</v>
      </c>
      <c r="C213">
        <f>(-1*B213+1/EXP((Data!$K$58*2.54)*(Data!$V$60+Data!$V$61*($A213/1000)+Data!$V$62*($A213/1000)^2+Data!$V$63*($A213/1000)^3+Data!$V$64*($A213/1000)^4+Data!$V$65*($A213/1000)^5+Data!$V$66*($A213/1000)^6+Data!$V$67*($A213/1000)^7)))</f>
        <v>0.80796076900741953</v>
      </c>
    </row>
    <row r="214" spans="1:3" x14ac:dyDescent="0.3">
      <c r="A214">
        <f>12.651173*(29979200000/1000000000)</f>
        <v>379.27204560159998</v>
      </c>
      <c r="B214">
        <v>2.3000000000000001E-4</v>
      </c>
      <c r="C214">
        <f>(-1*B214+1/EXP((Data!$K$58*2.54)*(Data!$V$60+Data!$V$61*($A214/1000)+Data!$V$62*($A214/1000)^2+Data!$V$63*($A214/1000)^3+Data!$V$64*($A214/1000)^4+Data!$V$65*($A214/1000)^5+Data!$V$66*($A214/1000)^6+Data!$V$67*($A214/1000)^7)))</f>
        <v>0.80760072519656967</v>
      </c>
    </row>
    <row r="215" spans="1:3" x14ac:dyDescent="0.3">
      <c r="A215">
        <f>12.701576*(29979200000/1000000000)</f>
        <v>380.78308721920001</v>
      </c>
      <c r="B215">
        <v>0</v>
      </c>
      <c r="C215">
        <f>(-1*B215+1/EXP((Data!$K$58*2.54)*(Data!$V$60+Data!$V$61*($A215/1000)+Data!$V$62*($A215/1000)^2+Data!$V$63*($A215/1000)^3+Data!$V$64*($A215/1000)^4+Data!$V$65*($A215/1000)^5+Data!$V$66*($A215/1000)^6+Data!$V$67*($A215/1000)^7)))</f>
        <v>0.80721309173059741</v>
      </c>
    </row>
    <row r="216" spans="1:3" x14ac:dyDescent="0.3">
      <c r="A216">
        <f>12.751979*(29979200000/1000000000)</f>
        <v>382.29412883680004</v>
      </c>
      <c r="B216">
        <v>6.9999999999999994E-5</v>
      </c>
      <c r="C216">
        <f>(-1*B216+1/EXP((Data!$K$58*2.54)*(Data!$V$60+Data!$V$61*($A216/1000)+Data!$V$62*($A216/1000)^2+Data!$V$63*($A216/1000)^3+Data!$V$64*($A216/1000)^4+Data!$V$65*($A216/1000)^5+Data!$V$66*($A216/1000)^6+Data!$V$67*($A216/1000)^7)))</f>
        <v>0.80652786162787837</v>
      </c>
    </row>
    <row r="217" spans="1:3" x14ac:dyDescent="0.3">
      <c r="A217">
        <f>12.802382*(29979200000/1000000000)</f>
        <v>383.80517045440001</v>
      </c>
      <c r="B217">
        <v>1.0000000000000001E-5</v>
      </c>
      <c r="C217">
        <f>(-1*B217+1/EXP((Data!$K$58*2.54)*(Data!$V$60+Data!$V$61*($A217/1000)+Data!$V$62*($A217/1000)^2+Data!$V$63*($A217/1000)^3+Data!$V$64*($A217/1000)^4+Data!$V$65*($A217/1000)^5+Data!$V$66*($A217/1000)^6+Data!$V$67*($A217/1000)^7)))</f>
        <v>0.80597502792078612</v>
      </c>
    </row>
    <row r="218" spans="1:3" x14ac:dyDescent="0.3">
      <c r="A218">
        <f>12.852785*(29979200000/1000000000)</f>
        <v>385.31621207199998</v>
      </c>
      <c r="B218">
        <v>0</v>
      </c>
      <c r="C218">
        <f>(-1*B218+1/EXP((Data!$K$58*2.54)*(Data!$V$60+Data!$V$61*($A218/1000)+Data!$V$62*($A218/1000)^2+Data!$V$63*($A218/1000)^3+Data!$V$64*($A218/1000)^4+Data!$V$65*($A218/1000)^5+Data!$V$66*($A218/1000)^6+Data!$V$67*($A218/1000)^7)))</f>
        <v>0.80537458365562364</v>
      </c>
    </row>
    <row r="219" spans="1:3" x14ac:dyDescent="0.3">
      <c r="A219">
        <f>12.903188*(29979200000/1000000000)</f>
        <v>386.82725368960001</v>
      </c>
      <c r="B219">
        <v>0</v>
      </c>
      <c r="C219">
        <f>(-1*B219+1/EXP((Data!$K$58*2.54)*(Data!$V$60+Data!$V$61*($A219/1000)+Data!$V$62*($A219/1000)^2+Data!$V$63*($A219/1000)^3+Data!$V$64*($A219/1000)^4+Data!$V$65*($A219/1000)^5+Data!$V$66*($A219/1000)^6+Data!$V$67*($A219/1000)^7)))</f>
        <v>0.8047665218925566</v>
      </c>
    </row>
    <row r="220" spans="1:3" x14ac:dyDescent="0.3">
      <c r="A220">
        <f>12.953591*(29979200000/1000000000)</f>
        <v>388.33829530720004</v>
      </c>
      <c r="B220">
        <v>0</v>
      </c>
      <c r="C220">
        <f>(-1*B220+1/EXP((Data!$K$58*2.54)*(Data!$V$60+Data!$V$61*($A220/1000)+Data!$V$62*($A220/1000)^2+Data!$V$63*($A220/1000)^3+Data!$V$64*($A220/1000)^4+Data!$V$65*($A220/1000)^5+Data!$V$66*($A220/1000)^6+Data!$V$67*($A220/1000)^7)))</f>
        <v>0.8041608357055432</v>
      </c>
    </row>
    <row r="221" spans="1:3" x14ac:dyDescent="0.3">
      <c r="A221">
        <f>13.003994*(29979200000/1000000000)</f>
        <v>389.84933692480001</v>
      </c>
      <c r="B221">
        <v>1.1E-4</v>
      </c>
      <c r="C221">
        <f>(-1*B221+1/EXP((Data!$K$58*2.54)*(Data!$V$60+Data!$V$61*($A221/1000)+Data!$V$62*($A221/1000)^2+Data!$V$63*($A221/1000)^3+Data!$V$64*($A221/1000)^4+Data!$V$65*($A221/1000)^5+Data!$V$66*($A221/1000)^6+Data!$V$67*($A221/1000)^7)))</f>
        <v>0.80344751818226789</v>
      </c>
    </row>
    <row r="222" spans="1:3" x14ac:dyDescent="0.3">
      <c r="A222">
        <f>13.054397*(29979200000/1000000000)</f>
        <v>391.36037854240004</v>
      </c>
      <c r="B222">
        <v>0</v>
      </c>
      <c r="C222">
        <f>(-1*B222+1/EXP((Data!$K$58*2.54)*(Data!$V$60+Data!$V$61*($A222/1000)+Data!$V$62*($A222/1000)^2+Data!$V$63*($A222/1000)^3+Data!$V$64*($A222/1000)^4+Data!$V$65*($A222/1000)^5+Data!$V$66*($A222/1000)^6+Data!$V$67*($A222/1000)^7)))</f>
        <v>0.80295656242407309</v>
      </c>
    </row>
    <row r="223" spans="1:3" x14ac:dyDescent="0.3">
      <c r="A223">
        <f>13.1048*(29979200000/1000000000)</f>
        <v>392.87142016000001</v>
      </c>
      <c r="B223">
        <v>0</v>
      </c>
      <c r="C223">
        <f>(-1*B223+1/EXP((Data!$K$58*2.54)*(Data!$V$60+Data!$V$61*($A223/1000)+Data!$V$62*($A223/1000)^2+Data!$V$63*($A223/1000)^3+Data!$V$64*($A223/1000)^4+Data!$V$65*($A223/1000)^5+Data!$V$66*($A223/1000)^6+Data!$V$67*($A223/1000)^7)))</f>
        <v>0.80235796154589289</v>
      </c>
    </row>
    <row r="224" spans="1:3" x14ac:dyDescent="0.3">
      <c r="A224">
        <f>13.155203*(29979200000/1000000000)</f>
        <v>394.38246177759999</v>
      </c>
      <c r="B224">
        <v>0</v>
      </c>
      <c r="C224">
        <f>(-1*B224+1/EXP((Data!$K$58*2.54)*(Data!$V$60+Data!$V$61*($A224/1000)+Data!$V$62*($A224/1000)^2+Data!$V$63*($A224/1000)^3+Data!$V$64*($A224/1000)^4+Data!$V$65*($A224/1000)^5+Data!$V$66*($A224/1000)^6+Data!$V$67*($A224/1000)^7)))</f>
        <v>0.80176170867618557</v>
      </c>
    </row>
    <row r="225" spans="1:3" x14ac:dyDescent="0.3">
      <c r="A225">
        <f>13.205606*(29979200000/1000000000)</f>
        <v>395.89350339519996</v>
      </c>
      <c r="B225">
        <v>0</v>
      </c>
      <c r="C225">
        <f>(-1*B225+1/EXP((Data!$K$58*2.54)*(Data!$V$60+Data!$V$61*($A225/1000)+Data!$V$62*($A225/1000)^2+Data!$V$63*($A225/1000)^3+Data!$V$64*($A225/1000)^4+Data!$V$65*($A225/1000)^5+Data!$V$66*($A225/1000)^6+Data!$V$67*($A225/1000)^7)))</f>
        <v>0.80116779695686813</v>
      </c>
    </row>
    <row r="226" spans="1:3" x14ac:dyDescent="0.3">
      <c r="A226">
        <f>13.256009*(29979200000/1000000000)</f>
        <v>397.40454501280004</v>
      </c>
      <c r="B226">
        <v>1.6000000000000001E-4</v>
      </c>
      <c r="C226">
        <f>(-1*B226+1/EXP((Data!$K$58*2.54)*(Data!$V$60+Data!$V$61*($A226/1000)+Data!$V$62*($A226/1000)^2+Data!$V$63*($A226/1000)^3+Data!$V$64*($A226/1000)^4+Data!$V$65*($A226/1000)^5+Data!$V$66*($A226/1000)^6+Data!$V$67*($A226/1000)^7)))</f>
        <v>0.80041621954324915</v>
      </c>
    </row>
    <row r="227" spans="1:3" x14ac:dyDescent="0.3">
      <c r="A227">
        <f>13.306412*(29979200000/1000000000)</f>
        <v>398.91558663040001</v>
      </c>
      <c r="B227">
        <v>0</v>
      </c>
      <c r="C227">
        <f>(-1*B227+1/EXP((Data!$K$58*2.54)*(Data!$V$60+Data!$V$61*($A227/1000)+Data!$V$62*($A227/1000)^2+Data!$V$63*($A227/1000)^3+Data!$V$64*($A227/1000)^4+Data!$V$65*($A227/1000)^5+Data!$V$66*($A227/1000)^6+Data!$V$67*($A227/1000)^7)))</f>
        <v>0.7999869696039642</v>
      </c>
    </row>
    <row r="228" spans="1:3" x14ac:dyDescent="0.3">
      <c r="A228">
        <f>13.356815*(29979200000/1000000000)</f>
        <v>400.42662824799999</v>
      </c>
      <c r="B228">
        <v>0</v>
      </c>
      <c r="C228">
        <f>(-1*B228+1/EXP((Data!$K$58*2.54)*(Data!$V$60+Data!$V$61*($A228/1000)+Data!$V$62*($A228/1000)^2+Data!$V$63*($A228/1000)^3+Data!$V$64*($A228/1000)^4+Data!$V$65*($A228/1000)^5+Data!$V$66*($A228/1000)^6+Data!$V$67*($A228/1000)^7)))</f>
        <v>0.79940004032091005</v>
      </c>
    </row>
    <row r="229" spans="1:3" x14ac:dyDescent="0.3">
      <c r="A229">
        <f>13.407218*(29979200000/1000000000)</f>
        <v>401.93766986560001</v>
      </c>
      <c r="B229">
        <v>0</v>
      </c>
      <c r="C229">
        <f>(-1*B229+1/EXP((Data!$K$58*2.54)*(Data!$V$60+Data!$V$61*($A229/1000)+Data!$V$62*($A229/1000)^2+Data!$V$63*($A229/1000)^3+Data!$V$64*($A229/1000)^4+Data!$V$65*($A229/1000)^5+Data!$V$66*($A229/1000)^6+Data!$V$67*($A229/1000)^7)))</f>
        <v>0.79881542488917945</v>
      </c>
    </row>
    <row r="230" spans="1:3" x14ac:dyDescent="0.3">
      <c r="A230">
        <f>13.457621*(29979200000/1000000000)</f>
        <v>403.44871148319999</v>
      </c>
      <c r="B230">
        <v>0</v>
      </c>
      <c r="C230">
        <f>(-1*B230+1/EXP((Data!$K$58*2.54)*(Data!$V$60+Data!$V$61*($A230/1000)+Data!$V$62*($A230/1000)^2+Data!$V$63*($A230/1000)^3+Data!$V$64*($A230/1000)^4+Data!$V$65*($A230/1000)^5+Data!$V$66*($A230/1000)^6+Data!$V$67*($A230/1000)^7)))</f>
        <v>0.79823311651699602</v>
      </c>
    </row>
    <row r="231" spans="1:3" x14ac:dyDescent="0.3">
      <c r="A231">
        <f>13.508024*(29979200000/1000000000)</f>
        <v>404.95975310080007</v>
      </c>
      <c r="B231">
        <v>0</v>
      </c>
      <c r="C231">
        <f>(-1*B231+1/EXP((Data!$K$58*2.54)*(Data!$V$60+Data!$V$61*($A231/1000)+Data!$V$62*($A231/1000)^2+Data!$V$63*($A231/1000)^3+Data!$V$64*($A231/1000)^4+Data!$V$65*($A231/1000)^5+Data!$V$66*($A231/1000)^6+Data!$V$67*($A231/1000)^7)))</f>
        <v>0.79765310842565118</v>
      </c>
    </row>
    <row r="232" spans="1:3" x14ac:dyDescent="0.3">
      <c r="A232">
        <f>13.558427*(29979200000/1000000000)</f>
        <v>406.47079471840004</v>
      </c>
      <c r="B232">
        <v>0</v>
      </c>
      <c r="C232">
        <f>(-1*B232+1/EXP((Data!$K$58*2.54)*(Data!$V$60+Data!$V$61*($A232/1000)+Data!$V$62*($A232/1000)^2+Data!$V$63*($A232/1000)^3+Data!$V$64*($A232/1000)^4+Data!$V$65*($A232/1000)^5+Data!$V$66*($A232/1000)^6+Data!$V$67*($A232/1000)^7)))</f>
        <v>0.79707539384943926</v>
      </c>
    </row>
    <row r="233" spans="1:3" x14ac:dyDescent="0.3">
      <c r="A233">
        <f>13.60883*(29979200000/1000000000)</f>
        <v>407.98183633600001</v>
      </c>
      <c r="B233">
        <v>0</v>
      </c>
      <c r="C233">
        <f>(-1*B233+1/EXP((Data!$K$58*2.54)*(Data!$V$60+Data!$V$61*($A233/1000)+Data!$V$62*($A233/1000)^2+Data!$V$63*($A233/1000)^3+Data!$V$64*($A233/1000)^4+Data!$V$65*($A233/1000)^5+Data!$V$66*($A233/1000)^6+Data!$V$67*($A233/1000)^7)))</f>
        <v>0.79649996603559325</v>
      </c>
    </row>
    <row r="234" spans="1:3" x14ac:dyDescent="0.3">
      <c r="A234">
        <f>13.659233*(29979200000/1000000000)</f>
        <v>409.49287795359999</v>
      </c>
      <c r="B234">
        <v>0</v>
      </c>
      <c r="C234">
        <f>(-1*B234+1/EXP((Data!$K$58*2.54)*(Data!$V$60+Data!$V$61*($A234/1000)+Data!$V$62*($A234/1000)^2+Data!$V$63*($A234/1000)^3+Data!$V$64*($A234/1000)^4+Data!$V$65*($A234/1000)^5+Data!$V$66*($A234/1000)^6+Data!$V$67*($A234/1000)^7)))</f>
        <v>0.79592681824422284</v>
      </c>
    </row>
    <row r="235" spans="1:3" x14ac:dyDescent="0.3">
      <c r="A235">
        <f>13.709636*(29979200000/1000000000)</f>
        <v>411.00391957119996</v>
      </c>
      <c r="B235">
        <v>0</v>
      </c>
      <c r="C235">
        <f>(-1*B235+1/EXP((Data!$K$58*2.54)*(Data!$V$60+Data!$V$61*($A235/1000)+Data!$V$62*($A235/1000)^2+Data!$V$63*($A235/1000)^3+Data!$V$64*($A235/1000)^4+Data!$V$65*($A235/1000)^5+Data!$V$66*($A235/1000)^6+Data!$V$67*($A235/1000)^7)))</f>
        <v>0.79535594374824958</v>
      </c>
    </row>
    <row r="236" spans="1:3" x14ac:dyDescent="0.3">
      <c r="A236">
        <f>13.760039*(29979200000/1000000000)</f>
        <v>412.51496118880004</v>
      </c>
      <c r="B236">
        <v>0</v>
      </c>
      <c r="C236">
        <f>(-1*B236+1/EXP((Data!$K$58*2.54)*(Data!$V$60+Data!$V$61*($A236/1000)+Data!$V$62*($A236/1000)^2+Data!$V$63*($A236/1000)^3+Data!$V$64*($A236/1000)^4+Data!$V$65*($A236/1000)^5+Data!$V$66*($A236/1000)^6+Data!$V$67*($A236/1000)^7)))</f>
        <v>0.7947873358333456</v>
      </c>
    </row>
    <row r="237" spans="1:3" x14ac:dyDescent="0.3">
      <c r="A237">
        <f>13.810442*(29979200000/1000000000)</f>
        <v>414.02600280640002</v>
      </c>
      <c r="B237">
        <v>0</v>
      </c>
      <c r="C237">
        <f>(-1*B237+1/EXP((Data!$K$58*2.54)*(Data!$V$60+Data!$V$61*($A237/1000)+Data!$V$62*($A237/1000)^2+Data!$V$63*($A237/1000)^3+Data!$V$64*($A237/1000)^4+Data!$V$65*($A237/1000)^5+Data!$V$66*($A237/1000)^6+Data!$V$67*($A237/1000)^7)))</f>
        <v>0.79422098779787031</v>
      </c>
    </row>
    <row r="238" spans="1:3" x14ac:dyDescent="0.3">
      <c r="A238">
        <f>13.860845*(29979200000/1000000000)</f>
        <v>415.53704442400004</v>
      </c>
      <c r="B238">
        <v>0</v>
      </c>
      <c r="C238">
        <f>(-1*B238+1/EXP((Data!$K$58*2.54)*(Data!$V$60+Data!$V$61*($A238/1000)+Data!$V$62*($A238/1000)^2+Data!$V$63*($A238/1000)^3+Data!$V$64*($A238/1000)^4+Data!$V$65*($A238/1000)^5+Data!$V$66*($A238/1000)^6+Data!$V$67*($A238/1000)^7)))</f>
        <v>0.79365689295280883</v>
      </c>
    </row>
    <row r="239" spans="1:3" x14ac:dyDescent="0.3">
      <c r="A239">
        <f>13.911248*(29979200000/1000000000)</f>
        <v>417.04808604160002</v>
      </c>
      <c r="B239">
        <v>0</v>
      </c>
      <c r="C239">
        <f>(-1*B239+1/EXP((Data!$K$58*2.54)*(Data!$V$60+Data!$V$61*($A239/1000)+Data!$V$62*($A239/1000)^2+Data!$V$63*($A239/1000)^3+Data!$V$64*($A239/1000)^4+Data!$V$65*($A239/1000)^5+Data!$V$66*($A239/1000)^6+Data!$V$67*($A239/1000)^7)))</f>
        <v>0.7930950446217101</v>
      </c>
    </row>
    <row r="240" spans="1:3" x14ac:dyDescent="0.3">
      <c r="A240">
        <f>13.961651*(29979200000/1000000000)</f>
        <v>418.55912765919999</v>
      </c>
      <c r="B240">
        <v>5.5999999999999995E-4</v>
      </c>
      <c r="C240">
        <f>(-1*B240+1/EXP((Data!$K$58*2.54)*(Data!$V$60+Data!$V$61*($A240/1000)+Data!$V$62*($A240/1000)^2+Data!$V$63*($A240/1000)^3+Data!$V$64*($A240/1000)^4+Data!$V$65*($A240/1000)^5+Data!$V$66*($A240/1000)^6+Data!$V$67*($A240/1000)^7)))</f>
        <v>0.79197543614062438</v>
      </c>
    </row>
    <row r="241" spans="1:3" x14ac:dyDescent="0.3">
      <c r="A241">
        <f>14.012054*(29979200000/1000000000)</f>
        <v>420.07016927680007</v>
      </c>
      <c r="B241">
        <v>4.2000000000000002E-4</v>
      </c>
      <c r="C241">
        <f>(-1*B241+1/EXP((Data!$K$58*2.54)*(Data!$V$60+Data!$V$61*($A241/1000)+Data!$V$62*($A241/1000)^2+Data!$V$63*($A241/1000)^3+Data!$V$64*($A241/1000)^4+Data!$V$65*($A241/1000)^5+Data!$V$66*($A241/1000)^6+Data!$V$67*($A241/1000)^7)))</f>
        <v>0.79155806085804348</v>
      </c>
    </row>
    <row r="242" spans="1:3" x14ac:dyDescent="0.3">
      <c r="A242">
        <f>14.062457*(29979200000/1000000000)</f>
        <v>421.58121089440004</v>
      </c>
      <c r="B242">
        <v>5.0000000000000002E-5</v>
      </c>
      <c r="C242">
        <f>(-1*B242+1/EXP((Data!$K$58*2.54)*(Data!$V$60+Data!$V$61*($A242/1000)+Data!$V$62*($A242/1000)^2+Data!$V$63*($A242/1000)^3+Data!$V$64*($A242/1000)^4+Data!$V$65*($A242/1000)^5+Data!$V$66*($A242/1000)^6+Data!$V$67*($A242/1000)^7)))</f>
        <v>0.79137291213483918</v>
      </c>
    </row>
    <row r="243" spans="1:3" x14ac:dyDescent="0.3">
      <c r="A243">
        <f>14.11286*(29979200000/1000000000)</f>
        <v>423.09225251200002</v>
      </c>
      <c r="B243">
        <v>0</v>
      </c>
      <c r="C243">
        <f>(-1*B243+1/EXP((Data!$K$58*2.54)*(Data!$V$60+Data!$V$61*($A243/1000)+Data!$V$62*($A243/1000)^2+Data!$V$63*($A243/1000)^3+Data!$V$64*($A243/1000)^4+Data!$V$65*($A243/1000)^5+Data!$V$66*($A243/1000)^6+Data!$V$67*($A243/1000)^7)))</f>
        <v>0.79086998334420289</v>
      </c>
    </row>
    <row r="244" spans="1:3" x14ac:dyDescent="0.3">
      <c r="A244">
        <f>14.163263*(29979200000/1000000000)</f>
        <v>424.60329412959999</v>
      </c>
      <c r="B244">
        <v>0</v>
      </c>
      <c r="C244">
        <f>(-1*B244+1/EXP((Data!$K$58*2.54)*(Data!$V$60+Data!$V$61*($A244/1000)+Data!$V$62*($A244/1000)^2+Data!$V$63*($A244/1000)^3+Data!$V$64*($A244/1000)^4+Data!$V$65*($A244/1000)^5+Data!$V$66*($A244/1000)^6+Data!$V$67*($A244/1000)^7)))</f>
        <v>0.7903192678715848</v>
      </c>
    </row>
    <row r="245" spans="1:3" x14ac:dyDescent="0.3">
      <c r="A245">
        <f>14.213666*(29979200000/1000000000)</f>
        <v>426.11433574719996</v>
      </c>
      <c r="B245">
        <v>0</v>
      </c>
      <c r="C245">
        <f>(-1*B245+1/EXP((Data!$K$58*2.54)*(Data!$V$60+Data!$V$61*($A245/1000)+Data!$V$62*($A245/1000)^2+Data!$V$63*($A245/1000)^3+Data!$V$64*($A245/1000)^4+Data!$V$65*($A245/1000)^5+Data!$V$66*($A245/1000)^6+Data!$V$67*($A245/1000)^7)))</f>
        <v>0.78977075911463479</v>
      </c>
    </row>
    <row r="246" spans="1:3" x14ac:dyDescent="0.3">
      <c r="A246">
        <f>14.264069*(29979200000/1000000000)</f>
        <v>427.62537736479993</v>
      </c>
      <c r="B246">
        <v>0</v>
      </c>
      <c r="C246">
        <f>(-1*B246+1/EXP((Data!$K$58*2.54)*(Data!$V$60+Data!$V$61*($A246/1000)+Data!$V$62*($A246/1000)^2+Data!$V$63*($A246/1000)^3+Data!$V$64*($A246/1000)^4+Data!$V$65*($A246/1000)^5+Data!$V$66*($A246/1000)^6+Data!$V$67*($A246/1000)^7)))</f>
        <v>0.7892244504831426</v>
      </c>
    </row>
    <row r="247" spans="1:3" x14ac:dyDescent="0.3">
      <c r="A247">
        <f>14.314472*(29979200000/1000000000)</f>
        <v>429.13641898240002</v>
      </c>
      <c r="B247">
        <v>0</v>
      </c>
      <c r="C247">
        <f>(-1*B247+1/EXP((Data!$K$58*2.54)*(Data!$V$60+Data!$V$61*($A247/1000)+Data!$V$62*($A247/1000)^2+Data!$V$63*($A247/1000)^3+Data!$V$64*($A247/1000)^4+Data!$V$65*($A247/1000)^5+Data!$V$66*($A247/1000)^6+Data!$V$67*($A247/1000)^7)))</f>
        <v>0.78868033539897775</v>
      </c>
    </row>
    <row r="248" spans="1:3" x14ac:dyDescent="0.3">
      <c r="A248">
        <f>14.364875*(29979200000/1000000000)</f>
        <v>430.64746060000004</v>
      </c>
      <c r="B248">
        <v>0</v>
      </c>
      <c r="C248">
        <f>(-1*B248+1/EXP((Data!$K$58*2.54)*(Data!$V$60+Data!$V$61*($A248/1000)+Data!$V$62*($A248/1000)^2+Data!$V$63*($A248/1000)^3+Data!$V$64*($A248/1000)^4+Data!$V$65*($A248/1000)^5+Data!$V$66*($A248/1000)^6+Data!$V$67*($A248/1000)^7)))</f>
        <v>0.78813840729603135</v>
      </c>
    </row>
    <row r="249" spans="1:3" x14ac:dyDescent="0.3">
      <c r="A249">
        <f>14.415278*(29979200000/1000000000)</f>
        <v>432.15850221760002</v>
      </c>
      <c r="B249">
        <v>0</v>
      </c>
      <c r="C249">
        <f>(-1*B249+1/EXP((Data!$K$58*2.54)*(Data!$V$60+Data!$V$61*($A249/1000)+Data!$V$62*($A249/1000)^2+Data!$V$63*($A249/1000)^3+Data!$V$64*($A249/1000)^4+Data!$V$65*($A249/1000)^5+Data!$V$66*($A249/1000)^6+Data!$V$67*($A249/1000)^7)))</f>
        <v>0.7875986596201574</v>
      </c>
    </row>
    <row r="250" spans="1:3" x14ac:dyDescent="0.3">
      <c r="A250">
        <f>14.465681*(29979200000/1000000000)</f>
        <v>433.66954383519999</v>
      </c>
      <c r="B250">
        <v>0</v>
      </c>
      <c r="C250">
        <f>(-1*B250+1/EXP((Data!$K$58*2.54)*(Data!$V$60+Data!$V$61*($A250/1000)+Data!$V$62*($A250/1000)^2+Data!$V$63*($A250/1000)^3+Data!$V$64*($A250/1000)^4+Data!$V$65*($A250/1000)^5+Data!$V$66*($A250/1000)^6+Data!$V$67*($A250/1000)^7)))</f>
        <v>0.78706108582911316</v>
      </c>
    </row>
    <row r="251" spans="1:3" x14ac:dyDescent="0.3">
      <c r="A251">
        <f>14.516084*(29979200000/1000000000)</f>
        <v>435.18058545279996</v>
      </c>
      <c r="B251">
        <v>0</v>
      </c>
      <c r="C251">
        <f>(-1*B251+1/EXP((Data!$K$58*2.54)*(Data!$V$60+Data!$V$61*($A251/1000)+Data!$V$62*($A251/1000)^2+Data!$V$63*($A251/1000)^3+Data!$V$64*($A251/1000)^4+Data!$V$65*($A251/1000)^5+Data!$V$66*($A251/1000)^6+Data!$V$67*($A251/1000)^7)))</f>
        <v>0.78652567939250284</v>
      </c>
    </row>
    <row r="252" spans="1:3" x14ac:dyDescent="0.3">
      <c r="A252">
        <f>14.566487*(29979200000/1000000000)</f>
        <v>436.69162707040005</v>
      </c>
      <c r="B252">
        <v>3.0000000000000001E-5</v>
      </c>
      <c r="C252">
        <f>(-1*B252+1/EXP((Data!$K$58*2.54)*(Data!$V$60+Data!$V$61*($A252/1000)+Data!$V$62*($A252/1000)^2+Data!$V$63*($A252/1000)^3+Data!$V$64*($A252/1000)^4+Data!$V$65*($A252/1000)^5+Data!$V$66*($A252/1000)^6+Data!$V$67*($A252/1000)^7)))</f>
        <v>0.78596243379171826</v>
      </c>
    </row>
    <row r="253" spans="1:3" x14ac:dyDescent="0.3">
      <c r="A253">
        <f>14.61689*(29979200000/1000000000)</f>
        <v>438.20266868800002</v>
      </c>
      <c r="B253">
        <v>0</v>
      </c>
      <c r="C253">
        <f>(-1*B253+1/EXP((Data!$K$58*2.54)*(Data!$V$60+Data!$V$61*($A253/1000)+Data!$V$62*($A253/1000)^2+Data!$V$63*($A253/1000)^3+Data!$V$64*($A253/1000)^4+Data!$V$65*($A253/1000)^5+Data!$V$66*($A253/1000)^6+Data!$V$67*($A253/1000)^7)))</f>
        <v>0.78546134251988209</v>
      </c>
    </row>
    <row r="254" spans="1:3" x14ac:dyDescent="0.3">
      <c r="A254">
        <f>14.667293*(29979200000/1000000000)</f>
        <v>439.71371030559999</v>
      </c>
      <c r="B254">
        <v>0</v>
      </c>
      <c r="C254">
        <f>(-1*B254+1/EXP((Data!$K$58*2.54)*(Data!$V$60+Data!$V$61*($A254/1000)+Data!$V$62*($A254/1000)^2+Data!$V$63*($A254/1000)^3+Data!$V$64*($A254/1000)^4+Data!$V$65*($A254/1000)^5+Data!$V$66*($A254/1000)^6+Data!$V$67*($A254/1000)^7)))</f>
        <v>0.78493239908179058</v>
      </c>
    </row>
    <row r="255" spans="1:3" x14ac:dyDescent="0.3">
      <c r="A255">
        <f>14.717696*(29979200000/1000000000)</f>
        <v>441.22475192319996</v>
      </c>
      <c r="B255">
        <v>0</v>
      </c>
      <c r="C255">
        <f>(-1*B255+1/EXP((Data!$K$58*2.54)*(Data!$V$60+Data!$V$61*($A255/1000)+Data!$V$62*($A255/1000)^2+Data!$V$63*($A255/1000)^3+Data!$V$64*($A255/1000)^4+Data!$V$65*($A255/1000)^5+Data!$V$66*($A255/1000)^6+Data!$V$67*($A255/1000)^7)))</f>
        <v>0.78440559699385615</v>
      </c>
    </row>
    <row r="256" spans="1:3" x14ac:dyDescent="0.3">
      <c r="A256">
        <f>14.768099*(29979200000/1000000000)</f>
        <v>442.73579354079999</v>
      </c>
      <c r="B256">
        <v>0</v>
      </c>
      <c r="C256">
        <f>(-1*B256+1/EXP((Data!$K$58*2.54)*(Data!$V$60+Data!$V$61*($A256/1000)+Data!$V$62*($A256/1000)^2+Data!$V$63*($A256/1000)^3+Data!$V$64*($A256/1000)^4+Data!$V$65*($A256/1000)^5+Data!$V$66*($A256/1000)^6+Data!$V$67*($A256/1000)^7)))</f>
        <v>0.78388092978405122</v>
      </c>
    </row>
    <row r="257" spans="1:3" x14ac:dyDescent="0.3">
      <c r="A257">
        <f>14.818502*(29979200000/1000000000)</f>
        <v>444.24683515840007</v>
      </c>
      <c r="B257">
        <v>0</v>
      </c>
      <c r="C257">
        <f>(-1*B257+1/EXP((Data!$K$58*2.54)*(Data!$V$60+Data!$V$61*($A257/1000)+Data!$V$62*($A257/1000)^2+Data!$V$63*($A257/1000)^3+Data!$V$64*($A257/1000)^4+Data!$V$65*($A257/1000)^5+Data!$V$66*($A257/1000)^6+Data!$V$67*($A257/1000)^7)))</f>
        <v>0.78335839099185178</v>
      </c>
    </row>
    <row r="258" spans="1:3" x14ac:dyDescent="0.3">
      <c r="A258">
        <f>14.868905*(29979200000/1000000000)</f>
        <v>445.75787677600005</v>
      </c>
      <c r="B258">
        <v>0</v>
      </c>
      <c r="C258">
        <f>(-1*B258+1/EXP((Data!$K$58*2.54)*(Data!$V$60+Data!$V$61*($A258/1000)+Data!$V$62*($A258/1000)^2+Data!$V$63*($A258/1000)^3+Data!$V$64*($A258/1000)^4+Data!$V$65*($A258/1000)^5+Data!$V$66*($A258/1000)^6+Data!$V$67*($A258/1000)^7)))</f>
        <v>0.78283797416818135</v>
      </c>
    </row>
    <row r="259" spans="1:3" x14ac:dyDescent="0.3">
      <c r="A259">
        <f>14.919308*(29979200000/1000000000)</f>
        <v>447.26891839360002</v>
      </c>
      <c r="B259">
        <v>0</v>
      </c>
      <c r="C259">
        <f>(-1*B259+1/EXP((Data!$K$58*2.54)*(Data!$V$60+Data!$V$61*($A259/1000)+Data!$V$62*($A259/1000)^2+Data!$V$63*($A259/1000)^3+Data!$V$64*($A259/1000)^4+Data!$V$65*($A259/1000)^5+Data!$V$66*($A259/1000)^6+Data!$V$67*($A259/1000)^7)))</f>
        <v>0.78231967287535475</v>
      </c>
    </row>
    <row r="260" spans="1:3" x14ac:dyDescent="0.3">
      <c r="A260">
        <f>14.969711*(29979200000/1000000000)</f>
        <v>448.77996001119999</v>
      </c>
      <c r="B260">
        <v>0</v>
      </c>
      <c r="C260">
        <f>(-1*B260+1/EXP((Data!$K$58*2.54)*(Data!$V$60+Data!$V$61*($A260/1000)+Data!$V$62*($A260/1000)^2+Data!$V$63*($A260/1000)^3+Data!$V$64*($A260/1000)^4+Data!$V$65*($A260/1000)^5+Data!$V$66*($A260/1000)^6+Data!$V$67*($A260/1000)^7)))</f>
        <v>0.78180348068702377</v>
      </c>
    </row>
    <row r="261" spans="1:3" x14ac:dyDescent="0.3">
      <c r="A261">
        <f>15.020114*(29979200000/1000000000)</f>
        <v>450.29100162879996</v>
      </c>
      <c r="B261">
        <v>0</v>
      </c>
      <c r="C261">
        <f>(-1*B261+1/EXP((Data!$K$58*2.54)*(Data!$V$60+Data!$V$61*($A261/1000)+Data!$V$62*($A261/1000)^2+Data!$V$63*($A261/1000)^3+Data!$V$64*($A261/1000)^4+Data!$V$65*($A261/1000)^5+Data!$V$66*($A261/1000)^6+Data!$V$67*($A261/1000)^7)))</f>
        <v>0.78128939118812013</v>
      </c>
    </row>
    <row r="262" spans="1:3" x14ac:dyDescent="0.3">
      <c r="A262">
        <f>15.070517*(29979200000/1000000000)</f>
        <v>451.80204324640005</v>
      </c>
      <c r="B262">
        <v>0</v>
      </c>
      <c r="C262">
        <f>(-1*B262+1/EXP((Data!$K$58*2.54)*(Data!$V$60+Data!$V$61*($A262/1000)+Data!$V$62*($A262/1000)^2+Data!$V$63*($A262/1000)^3+Data!$V$64*($A262/1000)^4+Data!$V$65*($A262/1000)^5+Data!$V$66*($A262/1000)^6+Data!$V$67*($A262/1000)^7)))</f>
        <v>0.78077739797480272</v>
      </c>
    </row>
    <row r="263" spans="1:3" x14ac:dyDescent="0.3">
      <c r="A263">
        <f>15.12092*(29979200000/1000000000)</f>
        <v>453.31308486400002</v>
      </c>
      <c r="B263">
        <v>0</v>
      </c>
      <c r="C263">
        <f>(-1*B263+1/EXP((Data!$K$58*2.54)*(Data!$V$60+Data!$V$61*($A263/1000)+Data!$V$62*($A263/1000)^2+Data!$V$63*($A263/1000)^3+Data!$V$64*($A263/1000)^4+Data!$V$65*($A263/1000)^5+Data!$V$66*($A263/1000)^6+Data!$V$67*($A263/1000)^7)))</f>
        <v>0.78026749465440159</v>
      </c>
    </row>
    <row r="264" spans="1:3" x14ac:dyDescent="0.3">
      <c r="A264">
        <f>15.171323*(29979200000/1000000000)</f>
        <v>454.82412648159999</v>
      </c>
      <c r="B264">
        <v>0</v>
      </c>
      <c r="C264">
        <f>(-1*B264+1/EXP((Data!$K$58*2.54)*(Data!$V$60+Data!$V$61*($A264/1000)+Data!$V$62*($A264/1000)^2+Data!$V$63*($A264/1000)^3+Data!$V$64*($A264/1000)^4+Data!$V$65*($A264/1000)^5+Data!$V$66*($A264/1000)^6+Data!$V$67*($A264/1000)^7)))</f>
        <v>0.77975967484536435</v>
      </c>
    </row>
    <row r="265" spans="1:3" x14ac:dyDescent="0.3">
      <c r="A265">
        <f>15.221726*(29979200000/1000000000)</f>
        <v>456.33516809920002</v>
      </c>
      <c r="B265">
        <v>0</v>
      </c>
      <c r="C265">
        <f>(-1*B265+1/EXP((Data!$K$58*2.54)*(Data!$V$60+Data!$V$61*($A265/1000)+Data!$V$62*($A265/1000)^2+Data!$V$63*($A265/1000)^3+Data!$V$64*($A265/1000)^4+Data!$V$65*($A265/1000)^5+Data!$V$66*($A265/1000)^6+Data!$V$67*($A265/1000)^7)))</f>
        <v>0.77925393217720085</v>
      </c>
    </row>
    <row r="266" spans="1:3" x14ac:dyDescent="0.3">
      <c r="A266">
        <f>15.272129*(29979200000/1000000000)</f>
        <v>457.84620971679999</v>
      </c>
      <c r="B266">
        <v>0</v>
      </c>
      <c r="C266">
        <f>(-1*B266+1/EXP((Data!$K$58*2.54)*(Data!$V$60+Data!$V$61*($A266/1000)+Data!$V$62*($A266/1000)^2+Data!$V$63*($A266/1000)^3+Data!$V$64*($A266/1000)^4+Data!$V$65*($A266/1000)^5+Data!$V$66*($A266/1000)^6+Data!$V$67*($A266/1000)^7)))</f>
        <v>0.7787502602904316</v>
      </c>
    </row>
    <row r="267" spans="1:3" x14ac:dyDescent="0.3">
      <c r="A267">
        <f>15.322532*(29979200000/1000000000)</f>
        <v>459.35725133440008</v>
      </c>
      <c r="B267">
        <v>0</v>
      </c>
      <c r="C267">
        <f>(-1*B267+1/EXP((Data!$K$58*2.54)*(Data!$V$60+Data!$V$61*($A267/1000)+Data!$V$62*($A267/1000)^2+Data!$V$63*($A267/1000)^3+Data!$V$64*($A267/1000)^4+Data!$V$65*($A267/1000)^5+Data!$V$66*($A267/1000)^6+Data!$V$67*($A267/1000)^7)))</f>
        <v>0.77824865283653244</v>
      </c>
    </row>
    <row r="268" spans="1:3" x14ac:dyDescent="0.3">
      <c r="A268">
        <f>15.372935*(29979200000/1000000000)</f>
        <v>460.86829295200005</v>
      </c>
      <c r="B268">
        <v>0</v>
      </c>
      <c r="C268">
        <f>(-1*B268+1/EXP((Data!$K$58*2.54)*(Data!$V$60+Data!$V$61*($A268/1000)+Data!$V$62*($A268/1000)^2+Data!$V$63*($A268/1000)^3+Data!$V$64*($A268/1000)^4+Data!$V$65*($A268/1000)^5+Data!$V$66*($A268/1000)^6+Data!$V$67*($A268/1000)^7)))</f>
        <v>0.7777491034778824</v>
      </c>
    </row>
    <row r="269" spans="1:3" x14ac:dyDescent="0.3">
      <c r="A269">
        <f>15.423338*(29979200000/1000000000)</f>
        <v>462.37933456960002</v>
      </c>
      <c r="B269">
        <v>0</v>
      </c>
      <c r="C269">
        <f>(-1*B269+1/EXP((Data!$K$58*2.54)*(Data!$V$60+Data!$V$61*($A269/1000)+Data!$V$62*($A269/1000)^2+Data!$V$63*($A269/1000)^3+Data!$V$64*($A269/1000)^4+Data!$V$65*($A269/1000)^5+Data!$V$66*($A269/1000)^6+Data!$V$67*($A269/1000)^7)))</f>
        <v>0.77725160588771036</v>
      </c>
    </row>
    <row r="270" spans="1:3" x14ac:dyDescent="0.3">
      <c r="A270">
        <f>15.473741*(29979200000/1000000000)</f>
        <v>463.89037618719999</v>
      </c>
      <c r="B270">
        <v>0</v>
      </c>
      <c r="C270">
        <f>(-1*B270+1/EXP((Data!$K$58*2.54)*(Data!$V$60+Data!$V$61*($A270/1000)+Data!$V$62*($A270/1000)^2+Data!$V$63*($A270/1000)^3+Data!$V$64*($A270/1000)^4+Data!$V$65*($A270/1000)^5+Data!$V$66*($A270/1000)^6+Data!$V$67*($A270/1000)^7)))</f>
        <v>0.77675615375004248</v>
      </c>
    </row>
    <row r="271" spans="1:3" x14ac:dyDescent="0.3">
      <c r="A271">
        <f>15.524144*(29979200000/1000000000)</f>
        <v>465.40141780479996</v>
      </c>
      <c r="B271">
        <v>0</v>
      </c>
      <c r="C271">
        <f>(-1*B271+1/EXP((Data!$K$58*2.54)*(Data!$V$60+Data!$V$61*($A271/1000)+Data!$V$62*($A271/1000)^2+Data!$V$63*($A271/1000)^3+Data!$V$64*($A271/1000)^4+Data!$V$65*($A271/1000)^5+Data!$V$66*($A271/1000)^6+Data!$V$67*($A271/1000)^7)))</f>
        <v>0.77626274075964996</v>
      </c>
    </row>
    <row r="272" spans="1:3" x14ac:dyDescent="0.3">
      <c r="A272">
        <f>15.574547*(29979200000/1000000000)</f>
        <v>466.91245942240005</v>
      </c>
      <c r="B272">
        <v>0</v>
      </c>
      <c r="C272">
        <f>(-1*B272+1/EXP((Data!$K$58*2.54)*(Data!$V$60+Data!$V$61*($A272/1000)+Data!$V$62*($A272/1000)^2+Data!$V$63*($A272/1000)^3+Data!$V$64*($A272/1000)^4+Data!$V$65*($A272/1000)^5+Data!$V$66*($A272/1000)^6+Data!$V$67*($A272/1000)^7)))</f>
        <v>0.77577136062199725</v>
      </c>
    </row>
    <row r="273" spans="1:3" x14ac:dyDescent="0.3">
      <c r="A273">
        <f>15.62495*(29979200000/1000000000)</f>
        <v>468.42350104000002</v>
      </c>
      <c r="B273">
        <v>0</v>
      </c>
      <c r="C273">
        <f>(-1*B273+1/EXP((Data!$K$58*2.54)*(Data!$V$60+Data!$V$61*($A273/1000)+Data!$V$62*($A273/1000)^2+Data!$V$63*($A273/1000)^3+Data!$V$64*($A273/1000)^4+Data!$V$65*($A273/1000)^5+Data!$V$66*($A273/1000)^6+Data!$V$67*($A273/1000)^7)))</f>
        <v>0.77528200705318973</v>
      </c>
    </row>
    <row r="274" spans="1:3" x14ac:dyDescent="0.3">
      <c r="A274">
        <f>15.675353*(29979200000/1000000000)</f>
        <v>469.93454265759999</v>
      </c>
      <c r="B274">
        <v>0</v>
      </c>
      <c r="C274">
        <f>(-1*B274+1/EXP((Data!$K$58*2.54)*(Data!$V$60+Data!$V$61*($A274/1000)+Data!$V$62*($A274/1000)^2+Data!$V$63*($A274/1000)^3+Data!$V$64*($A274/1000)^4+Data!$V$65*($A274/1000)^5+Data!$V$66*($A274/1000)^6+Data!$V$67*($A274/1000)^7)))</f>
        <v>0.77479467377992295</v>
      </c>
    </row>
    <row r="275" spans="1:3" x14ac:dyDescent="0.3">
      <c r="A275">
        <f>15.725756*(29979200000/1000000000)</f>
        <v>471.44558427520002</v>
      </c>
      <c r="B275">
        <v>0</v>
      </c>
      <c r="C275">
        <f>(-1*B275+1/EXP((Data!$K$58*2.54)*(Data!$V$60+Data!$V$61*($A275/1000)+Data!$V$62*($A275/1000)^2+Data!$V$63*($A275/1000)^3+Data!$V$64*($A275/1000)^4+Data!$V$65*($A275/1000)^5+Data!$V$66*($A275/1000)^6+Data!$V$67*($A275/1000)^7)))</f>
        <v>0.77430935453943039</v>
      </c>
    </row>
    <row r="276" spans="1:3" x14ac:dyDescent="0.3">
      <c r="A276">
        <f>15.776159*(29979200000/1000000000)</f>
        <v>472.95662589279999</v>
      </c>
      <c r="B276">
        <v>0</v>
      </c>
      <c r="C276">
        <f>(-1*B276+1/EXP((Data!$K$58*2.54)*(Data!$V$60+Data!$V$61*($A276/1000)+Data!$V$62*($A276/1000)^2+Data!$V$63*($A276/1000)^3+Data!$V$64*($A276/1000)^4+Data!$V$65*($A276/1000)^5+Data!$V$66*($A276/1000)^6+Data!$V$67*($A276/1000)^7)))</f>
        <v>0.77382604307943403</v>
      </c>
    </row>
    <row r="277" spans="1:3" x14ac:dyDescent="0.3">
      <c r="A277">
        <f>15.826562*(29979200000/1000000000)</f>
        <v>474.46766751040008</v>
      </c>
      <c r="B277">
        <v>0</v>
      </c>
      <c r="C277">
        <f>(-1*B277+1/EXP((Data!$K$58*2.54)*(Data!$V$60+Data!$V$61*($A277/1000)+Data!$V$62*($A277/1000)^2+Data!$V$63*($A277/1000)^3+Data!$V$64*($A277/1000)^4+Data!$V$65*($A277/1000)^5+Data!$V$66*($A277/1000)^6+Data!$V$67*($A277/1000)^7)))</f>
        <v>0.77334473315809182</v>
      </c>
    </row>
    <row r="278" spans="1:3" x14ac:dyDescent="0.3">
      <c r="A278">
        <f>15.876965*(29979200000/1000000000)</f>
        <v>475.97870912800005</v>
      </c>
      <c r="B278">
        <v>0</v>
      </c>
      <c r="C278">
        <f>(-1*B278+1/EXP((Data!$K$58*2.54)*(Data!$V$60+Data!$V$61*($A278/1000)+Data!$V$62*($A278/1000)^2+Data!$V$63*($A278/1000)^3+Data!$V$64*($A278/1000)^4+Data!$V$65*($A278/1000)^5+Data!$V$66*($A278/1000)^6+Data!$V$67*($A278/1000)^7)))</f>
        <v>0.77286541854394963</v>
      </c>
    </row>
    <row r="279" spans="1:3" x14ac:dyDescent="0.3">
      <c r="A279">
        <f>15.927368*(29979200000/1000000000)</f>
        <v>477.48975074560002</v>
      </c>
      <c r="B279">
        <v>0</v>
      </c>
      <c r="C279">
        <f>(-1*B279+1/EXP((Data!$K$58*2.54)*(Data!$V$60+Data!$V$61*($A279/1000)+Data!$V$62*($A279/1000)^2+Data!$V$63*($A279/1000)^3+Data!$V$64*($A279/1000)^4+Data!$V$65*($A279/1000)^5+Data!$V$66*($A279/1000)^6+Data!$V$67*($A279/1000)^7)))</f>
        <v>0.77238809301588884</v>
      </c>
    </row>
    <row r="280" spans="1:3" x14ac:dyDescent="0.3">
      <c r="A280">
        <f>15.977771*(29979200000/1000000000)</f>
        <v>479.00079236319999</v>
      </c>
      <c r="B280">
        <v>0</v>
      </c>
      <c r="C280">
        <f>(-1*B280+1/EXP((Data!$K$58*2.54)*(Data!$V$60+Data!$V$61*($A280/1000)+Data!$V$62*($A280/1000)^2+Data!$V$63*($A280/1000)^3+Data!$V$64*($A280/1000)^4+Data!$V$65*($A280/1000)^5+Data!$V$66*($A280/1000)^6+Data!$V$67*($A280/1000)^7)))</f>
        <v>0.77191275036307805</v>
      </c>
    </row>
    <row r="281" spans="1:3" x14ac:dyDescent="0.3">
      <c r="A281">
        <f>16.028174*(29979200000/1000000000)</f>
        <v>480.51183398079996</v>
      </c>
      <c r="B281">
        <v>0</v>
      </c>
      <c r="C281">
        <f>(-1*B281+1/EXP((Data!$K$58*2.54)*(Data!$V$60+Data!$V$61*($A281/1000)+Data!$V$62*($A281/1000)^2+Data!$V$63*($A281/1000)^3+Data!$V$64*($A281/1000)^4+Data!$V$65*($A281/1000)^5+Data!$V$66*($A281/1000)^6+Data!$V$67*($A281/1000)^7)))</f>
        <v>0.77143938438492277</v>
      </c>
    </row>
    <row r="282" spans="1:3" x14ac:dyDescent="0.3">
      <c r="A282">
        <f>16.078577*(29979200000/1000000000)</f>
        <v>482.02287559840005</v>
      </c>
      <c r="B282">
        <v>0</v>
      </c>
      <c r="C282">
        <f>(-1*B282+1/EXP((Data!$K$58*2.54)*(Data!$V$60+Data!$V$61*($A282/1000)+Data!$V$62*($A282/1000)^2+Data!$V$63*($A282/1000)^3+Data!$V$64*($A282/1000)^4+Data!$V$65*($A282/1000)^5+Data!$V$66*($A282/1000)^6+Data!$V$67*($A282/1000)^7)))</f>
        <v>0.7709679888910167</v>
      </c>
    </row>
    <row r="283" spans="1:3" x14ac:dyDescent="0.3">
      <c r="A283">
        <f>16.12898*(29979200000/1000000000)</f>
        <v>483.53391721600002</v>
      </c>
      <c r="B283">
        <v>0</v>
      </c>
      <c r="C283">
        <f>(-1*B283+1/EXP((Data!$K$58*2.54)*(Data!$V$60+Data!$V$61*($A283/1000)+Data!$V$62*($A283/1000)^2+Data!$V$63*($A283/1000)^3+Data!$V$64*($A283/1000)^4+Data!$V$65*($A283/1000)^5+Data!$V$66*($A283/1000)^6+Data!$V$67*($A283/1000)^7)))</f>
        <v>0.77049855770109277</v>
      </c>
    </row>
    <row r="284" spans="1:3" x14ac:dyDescent="0.3">
      <c r="A284">
        <f>16.179383*(29979200000/1000000000)</f>
        <v>485.04495883360005</v>
      </c>
      <c r="B284">
        <v>0</v>
      </c>
      <c r="C284">
        <f>(-1*B284+1/EXP((Data!$K$58*2.54)*(Data!$V$60+Data!$V$61*($A284/1000)+Data!$V$62*($A284/1000)^2+Data!$V$63*($A284/1000)^3+Data!$V$64*($A284/1000)^4+Data!$V$65*($A284/1000)^5+Data!$V$66*($A284/1000)^6+Data!$V$67*($A284/1000)^7)))</f>
        <v>0.77003108464497361</v>
      </c>
    </row>
    <row r="285" spans="1:3" x14ac:dyDescent="0.3">
      <c r="A285">
        <f>16.229786*(29979200000/1000000000)</f>
        <v>486.55600045120002</v>
      </c>
      <c r="B285">
        <v>0</v>
      </c>
      <c r="C285">
        <f>(-1*B285+1/EXP((Data!$K$58*2.54)*(Data!$V$60+Data!$V$61*($A285/1000)+Data!$V$62*($A285/1000)^2+Data!$V$63*($A285/1000)^3+Data!$V$64*($A285/1000)^4+Data!$V$65*($A285/1000)^5+Data!$V$66*($A285/1000)^6+Data!$V$67*($A285/1000)^7)))</f>
        <v>0.76956556356252404</v>
      </c>
    </row>
    <row r="286" spans="1:3" x14ac:dyDescent="0.3">
      <c r="A286">
        <f>16.280189*(29979200000/1000000000)</f>
        <v>488.06704206879999</v>
      </c>
      <c r="B286">
        <v>5.0000000000000002E-5</v>
      </c>
      <c r="C286">
        <f>(-1*B286+1/EXP((Data!$K$58*2.54)*(Data!$V$60+Data!$V$61*($A286/1000)+Data!$V$62*($A286/1000)^2+Data!$V$63*($A286/1000)^3+Data!$V$64*($A286/1000)^4+Data!$V$65*($A286/1000)^5+Data!$V$66*($A286/1000)^6+Data!$V$67*($A286/1000)^7)))</f>
        <v>0.76905198830360233</v>
      </c>
    </row>
    <row r="287" spans="1:3" x14ac:dyDescent="0.3">
      <c r="A287">
        <f>16.330592*(29979200000/1000000000)</f>
        <v>489.57808368640008</v>
      </c>
      <c r="B287">
        <v>2.2000000000000001E-4</v>
      </c>
      <c r="C287">
        <f>(-1*B287+1/EXP((Data!$K$58*2.54)*(Data!$V$60+Data!$V$61*($A287/1000)+Data!$V$62*($A287/1000)^2+Data!$V$63*($A287/1000)^3+Data!$V$64*($A287/1000)^4+Data!$V$65*($A287/1000)^5+Data!$V$66*($A287/1000)^6+Data!$V$67*($A287/1000)^7)))</f>
        <v>0.76842035272801279</v>
      </c>
    </row>
    <row r="288" spans="1:3" x14ac:dyDescent="0.3">
      <c r="A288">
        <f>16.380995*(29979200000/1000000000)</f>
        <v>491.08912530400005</v>
      </c>
      <c r="B288">
        <v>8.0000000000000007E-5</v>
      </c>
      <c r="C288">
        <f>(-1*B288+1/EXP((Data!$K$58*2.54)*(Data!$V$60+Data!$V$61*($A288/1000)+Data!$V$62*($A288/1000)^2+Data!$V$63*($A288/1000)^3+Data!$V$64*($A288/1000)^4+Data!$V$65*($A288/1000)^5+Data!$V$66*($A288/1000)^6+Data!$V$67*($A288/1000)^7)))</f>
        <v>0.76810065070545763</v>
      </c>
    </row>
    <row r="289" spans="1:3" x14ac:dyDescent="0.3">
      <c r="A289">
        <f>16.431398*(29979200000/1000000000)</f>
        <v>492.60016692160002</v>
      </c>
      <c r="B289">
        <v>0</v>
      </c>
      <c r="C289">
        <f>(-1*B289+1/EXP((Data!$K$58*2.54)*(Data!$V$60+Data!$V$61*($A289/1000)+Data!$V$62*($A289/1000)^2+Data!$V$63*($A289/1000)^3+Data!$V$64*($A289/1000)^4+Data!$V$65*($A289/1000)^5+Data!$V$66*($A289/1000)^6+Data!$V$67*($A289/1000)^7)))</f>
        <v>0.76772287611549006</v>
      </c>
    </row>
    <row r="290" spans="1:3" x14ac:dyDescent="0.3">
      <c r="A290">
        <f>16.481801*(29979200000/1000000000)</f>
        <v>494.11120853919999</v>
      </c>
      <c r="B290">
        <v>0</v>
      </c>
      <c r="C290">
        <f>(-1*B290+1/EXP((Data!$K$58*2.54)*(Data!$V$60+Data!$V$61*($A290/1000)+Data!$V$62*($A290/1000)^2+Data!$V$63*($A290/1000)^3+Data!$V$64*($A290/1000)^4+Data!$V$65*($A290/1000)^5+Data!$V$66*($A290/1000)^6+Data!$V$67*($A290/1000)^7)))</f>
        <v>0.76726702284746706</v>
      </c>
    </row>
    <row r="291" spans="1:3" x14ac:dyDescent="0.3">
      <c r="A291">
        <f>16.532204*(29979200000/1000000000)</f>
        <v>495.62225015679996</v>
      </c>
      <c r="B291">
        <v>0</v>
      </c>
      <c r="C291">
        <f>(-1*B291+1/EXP((Data!$K$58*2.54)*(Data!$V$60+Data!$V$61*($A291/1000)+Data!$V$62*($A291/1000)^2+Data!$V$63*($A291/1000)^3+Data!$V$64*($A291/1000)^4+Data!$V$65*($A291/1000)^5+Data!$V$66*($A291/1000)^6+Data!$V$67*($A291/1000)^7)))</f>
        <v>0.76681308480050203</v>
      </c>
    </row>
    <row r="292" spans="1:3" x14ac:dyDescent="0.3">
      <c r="A292">
        <f>16.582607*(29979200000/1000000000)</f>
        <v>497.13329177439994</v>
      </c>
      <c r="B292">
        <v>0</v>
      </c>
      <c r="C292">
        <f>(-1*B292+1/EXP((Data!$K$58*2.54)*(Data!$V$60+Data!$V$61*($A292/1000)+Data!$V$62*($A292/1000)^2+Data!$V$63*($A292/1000)^3+Data!$V$64*($A292/1000)^4+Data!$V$65*($A292/1000)^5+Data!$V$66*($A292/1000)^6+Data!$V$67*($A292/1000)^7)))</f>
        <v>0.76636105588341963</v>
      </c>
    </row>
    <row r="293" spans="1:3" x14ac:dyDescent="0.3">
      <c r="A293">
        <f>16.63301*(29979200000/1000000000)</f>
        <v>498.64433339200002</v>
      </c>
      <c r="B293">
        <v>0</v>
      </c>
      <c r="C293">
        <f>(-1*B293+1/EXP((Data!$K$58*2.54)*(Data!$V$60+Data!$V$61*($A293/1000)+Data!$V$62*($A293/1000)^2+Data!$V$63*($A293/1000)^3+Data!$V$64*($A293/1000)^4+Data!$V$65*($A293/1000)^5+Data!$V$66*($A293/1000)^6+Data!$V$67*($A293/1000)^7)))</f>
        <v>0.76591093001470767</v>
      </c>
    </row>
    <row r="294" spans="1:3" x14ac:dyDescent="0.3">
      <c r="A294">
        <f>16.683413*(29979200000/1000000000)</f>
        <v>500.15537500960005</v>
      </c>
      <c r="B294">
        <v>0</v>
      </c>
      <c r="C294">
        <f>(-1*B294+1/EXP((Data!$K$58*2.54)*(Data!$V$60+Data!$V$61*($A294/1000)+Data!$V$62*($A294/1000)^2+Data!$V$63*($A294/1000)^3+Data!$V$64*($A294/1000)^4+Data!$V$65*($A294/1000)^5+Data!$V$66*($A294/1000)^6+Data!$V$67*($A294/1000)^7)))</f>
        <v>0.76546270112247317</v>
      </c>
    </row>
    <row r="295" spans="1:3" x14ac:dyDescent="0.3">
      <c r="A295">
        <f>16.733816*(29979200000/1000000000)</f>
        <v>501.66641662720002</v>
      </c>
      <c r="B295">
        <v>0</v>
      </c>
      <c r="C295">
        <f>(-1*B295+1/EXP((Data!$K$58*2.54)*(Data!$V$60+Data!$V$61*($A295/1000)+Data!$V$62*($A295/1000)^2+Data!$V$63*($A295/1000)^3+Data!$V$64*($A295/1000)^4+Data!$V$65*($A295/1000)^5+Data!$V$66*($A295/1000)^6+Data!$V$67*($A295/1000)^7)))</f>
        <v>0.76501636314439447</v>
      </c>
    </row>
    <row r="296" spans="1:3" x14ac:dyDescent="0.3">
      <c r="A296">
        <f>16.784219*(29979200000/1000000000)</f>
        <v>503.17745824479999</v>
      </c>
      <c r="B296">
        <v>0</v>
      </c>
      <c r="C296">
        <f>(-1*B296+1/EXP((Data!$K$58*2.54)*(Data!$V$60+Data!$V$61*($A296/1000)+Data!$V$62*($A296/1000)^2+Data!$V$63*($A296/1000)^3+Data!$V$64*($A296/1000)^4+Data!$V$65*($A296/1000)^5+Data!$V$66*($A296/1000)^6+Data!$V$67*($A296/1000)^7)))</f>
        <v>0.76457191002767799</v>
      </c>
    </row>
    <row r="297" spans="1:3" x14ac:dyDescent="0.3">
      <c r="A297">
        <f>16.834622*(29979200000/1000000000)</f>
        <v>504.68849986239996</v>
      </c>
      <c r="B297">
        <v>0</v>
      </c>
      <c r="C297">
        <f>(-1*B297+1/EXP((Data!$K$58*2.54)*(Data!$V$60+Data!$V$61*($A297/1000)+Data!$V$62*($A297/1000)^2+Data!$V$63*($A297/1000)^3+Data!$V$64*($A297/1000)^4+Data!$V$65*($A297/1000)^5+Data!$V$66*($A297/1000)^6+Data!$V$67*($A297/1000)^7)))</f>
        <v>0.76412933572901087</v>
      </c>
    </row>
    <row r="298" spans="1:3" x14ac:dyDescent="0.3">
      <c r="A298">
        <f>16.885025*(29979200000/1000000000)</f>
        <v>506.19954148000005</v>
      </c>
      <c r="B298">
        <v>0</v>
      </c>
      <c r="C298">
        <f>(-1*B298+1/EXP((Data!$K$58*2.54)*(Data!$V$60+Data!$V$61*($A298/1000)+Data!$V$62*($A298/1000)^2+Data!$V$63*($A298/1000)^3+Data!$V$64*($A298/1000)^4+Data!$V$65*($A298/1000)^5+Data!$V$66*($A298/1000)^6+Data!$V$67*($A298/1000)^7)))</f>
        <v>0.76368863421451805</v>
      </c>
    </row>
    <row r="299" spans="1:3" x14ac:dyDescent="0.3">
      <c r="A299">
        <f>16.935428*(29979200000/1000000000)</f>
        <v>507.71058309760002</v>
      </c>
      <c r="B299">
        <v>0</v>
      </c>
      <c r="C299">
        <f>(-1*B299+1/EXP((Data!$K$58*2.54)*(Data!$V$60+Data!$V$61*($A299/1000)+Data!$V$62*($A299/1000)^2+Data!$V$63*($A299/1000)^3+Data!$V$64*($A299/1000)^4+Data!$V$65*($A299/1000)^5+Data!$V$66*($A299/1000)^6+Data!$V$67*($A299/1000)^7)))</f>
        <v>0.76324979945971594</v>
      </c>
    </row>
    <row r="300" spans="1:3" x14ac:dyDescent="0.3">
      <c r="A300">
        <f>16.985831*(29979200000/1000000000)</f>
        <v>509.22162471519999</v>
      </c>
      <c r="B300">
        <v>0</v>
      </c>
      <c r="C300">
        <f>(-1*B300+1/EXP((Data!$K$58*2.54)*(Data!$V$60+Data!$V$61*($A300/1000)+Data!$V$62*($A300/1000)^2+Data!$V$63*($A300/1000)^3+Data!$V$64*($A300/1000)^4+Data!$V$65*($A300/1000)^5+Data!$V$66*($A300/1000)^6+Data!$V$67*($A300/1000)^7)))</f>
        <v>0.76281282544946916</v>
      </c>
    </row>
    <row r="301" spans="1:3" x14ac:dyDescent="0.3">
      <c r="A301">
        <f>17.036234*(29979200000/1000000000)</f>
        <v>510.73266633279997</v>
      </c>
      <c r="B301">
        <v>0</v>
      </c>
      <c r="C301">
        <f>(-1*B301+1/EXP((Data!$K$58*2.54)*(Data!$V$60+Data!$V$61*($A301/1000)+Data!$V$62*($A301/1000)^2+Data!$V$63*($A301/1000)^3+Data!$V$64*($A301/1000)^4+Data!$V$65*($A301/1000)^5+Data!$V$66*($A301/1000)^6+Data!$V$67*($A301/1000)^7)))</f>
        <v>0.76237770617794609</v>
      </c>
    </row>
    <row r="302" spans="1:3" x14ac:dyDescent="0.3">
      <c r="A302">
        <f>17.086637*(29979200000/1000000000)</f>
        <v>512.24370795039999</v>
      </c>
      <c r="B302">
        <v>0</v>
      </c>
      <c r="C302">
        <f>(-1*B302+1/EXP((Data!$K$58*2.54)*(Data!$V$60+Data!$V$61*($A302/1000)+Data!$V$62*($A302/1000)^2+Data!$V$63*($A302/1000)^3+Data!$V$64*($A302/1000)^4+Data!$V$65*($A302/1000)^5+Data!$V$66*($A302/1000)^6+Data!$V$67*($A302/1000)^7)))</f>
        <v>0.76194443564857495</v>
      </c>
    </row>
    <row r="303" spans="1:3" x14ac:dyDescent="0.3">
      <c r="A303">
        <f>17.13704*(29979200000/1000000000)</f>
        <v>513.75474956800008</v>
      </c>
      <c r="B303">
        <v>0</v>
      </c>
      <c r="C303">
        <f>(-1*B303+1/EXP((Data!$K$58*2.54)*(Data!$V$60+Data!$V$61*($A303/1000)+Data!$V$62*($A303/1000)^2+Data!$V$63*($A303/1000)^3+Data!$V$64*($A303/1000)^4+Data!$V$65*($A303/1000)^5+Data!$V$66*($A303/1000)^6+Data!$V$67*($A303/1000)^7)))</f>
        <v>0.76151300787399989</v>
      </c>
    </row>
    <row r="304" spans="1:3" x14ac:dyDescent="0.3">
      <c r="A304">
        <f>17.187443*(29979200000/1000000000)</f>
        <v>515.26579118560005</v>
      </c>
      <c r="B304">
        <v>0</v>
      </c>
      <c r="C304">
        <f>(-1*B304+1/EXP((Data!$K$58*2.54)*(Data!$V$60+Data!$V$61*($A304/1000)+Data!$V$62*($A304/1000)^2+Data!$V$63*($A304/1000)^3+Data!$V$64*($A304/1000)^4+Data!$V$65*($A304/1000)^5+Data!$V$66*($A304/1000)^6+Data!$V$67*($A304/1000)^7)))</f>
        <v>0.76108341687603875</v>
      </c>
    </row>
    <row r="305" spans="1:3" x14ac:dyDescent="0.3">
      <c r="A305">
        <f>17.237846*(29979200000/1000000000)</f>
        <v>516.77683280320002</v>
      </c>
      <c r="B305">
        <v>0</v>
      </c>
      <c r="C305">
        <f>(-1*B305+1/EXP((Data!$K$58*2.54)*(Data!$V$60+Data!$V$61*($A305/1000)+Data!$V$62*($A305/1000)^2+Data!$V$63*($A305/1000)^3+Data!$V$64*($A305/1000)^4+Data!$V$65*($A305/1000)^5+Data!$V$66*($A305/1000)^6+Data!$V$67*($A305/1000)^7)))</f>
        <v>0.76065565668563873</v>
      </c>
    </row>
    <row r="306" spans="1:3" x14ac:dyDescent="0.3">
      <c r="A306">
        <f>17.288249*(29979200000/1000000000)</f>
        <v>518.28787442079999</v>
      </c>
      <c r="B306">
        <v>0</v>
      </c>
      <c r="C306">
        <f>(-1*B306+1/EXP((Data!$K$58*2.54)*(Data!$V$60+Data!$V$61*($A306/1000)+Data!$V$62*($A306/1000)^2+Data!$V$63*($A306/1000)^3+Data!$V$64*($A306/1000)^4+Data!$V$65*($A306/1000)^5+Data!$V$66*($A306/1000)^6+Data!$V$67*($A306/1000)^7)))</f>
        <v>0.76022972134283451</v>
      </c>
    </row>
    <row r="307" spans="1:3" x14ac:dyDescent="0.3">
      <c r="A307">
        <f>17.338652*(29979200000/1000000000)</f>
        <v>519.79891603839997</v>
      </c>
      <c r="B307">
        <v>0</v>
      </c>
      <c r="C307">
        <f>(-1*B307+1/EXP((Data!$K$58*2.54)*(Data!$V$60+Data!$V$61*($A307/1000)+Data!$V$62*($A307/1000)^2+Data!$V$63*($A307/1000)^3+Data!$V$64*($A307/1000)^4+Data!$V$65*($A307/1000)^5+Data!$V$66*($A307/1000)^6+Data!$V$67*($A307/1000)^7)))</f>
        <v>0.75980560489670523</v>
      </c>
    </row>
    <row r="308" spans="1:3" x14ac:dyDescent="0.3">
      <c r="A308">
        <f>17.389055*(29979200000/1000000000)</f>
        <v>521.30995765600005</v>
      </c>
      <c r="B308">
        <v>0</v>
      </c>
      <c r="C308">
        <f>(-1*B308+1/EXP((Data!$K$58*2.54)*(Data!$V$60+Data!$V$61*($A308/1000)+Data!$V$62*($A308/1000)^2+Data!$V$63*($A308/1000)^3+Data!$V$64*($A308/1000)^4+Data!$V$65*($A308/1000)^5+Data!$V$66*($A308/1000)^6+Data!$V$67*($A308/1000)^7)))</f>
        <v>0.75938330140533261</v>
      </c>
    </row>
    <row r="309" spans="1:3" x14ac:dyDescent="0.3">
      <c r="A309">
        <f>17.439458*(29979200000/1000000000)</f>
        <v>522.82099927360002</v>
      </c>
      <c r="B309">
        <v>0</v>
      </c>
      <c r="C309">
        <f>(-1*B309+1/EXP((Data!$K$58*2.54)*(Data!$V$60+Data!$V$61*($A309/1000)+Data!$V$62*($A309/1000)^2+Data!$V$63*($A309/1000)^3+Data!$V$64*($A309/1000)^4+Data!$V$65*($A309/1000)^5+Data!$V$66*($A309/1000)^6+Data!$V$67*($A309/1000)^7)))</f>
        <v>0.75896280493575863</v>
      </c>
    </row>
    <row r="310" spans="1:3" x14ac:dyDescent="0.3">
      <c r="A310">
        <f>17.489861*(29979200000/1000000000)</f>
        <v>524.33204089119999</v>
      </c>
      <c r="B310">
        <v>0</v>
      </c>
      <c r="C310">
        <f>(-1*B310+1/EXP((Data!$K$58*2.54)*(Data!$V$60+Data!$V$61*($A310/1000)+Data!$V$62*($A310/1000)^2+Data!$V$63*($A310/1000)^3+Data!$V$64*($A310/1000)^4+Data!$V$65*($A310/1000)^5+Data!$V$66*($A310/1000)^6+Data!$V$67*($A310/1000)^7)))</f>
        <v>0.75854410956394414</v>
      </c>
    </row>
    <row r="311" spans="1:3" x14ac:dyDescent="0.3">
      <c r="A311">
        <f>17.540264*(29979200000/1000000000)</f>
        <v>525.84308250879997</v>
      </c>
      <c r="B311">
        <v>0</v>
      </c>
      <c r="C311">
        <f>(-1*B311+1/EXP((Data!$K$58*2.54)*(Data!$V$60+Data!$V$61*($A311/1000)+Data!$V$62*($A311/1000)^2+Data!$V$63*($A311/1000)^3+Data!$V$64*($A311/1000)^4+Data!$V$65*($A311/1000)^5+Data!$V$66*($A311/1000)^6+Data!$V$67*($A311/1000)^7)))</f>
        <v>0.75812720937472711</v>
      </c>
    </row>
    <row r="312" spans="1:3" x14ac:dyDescent="0.3">
      <c r="A312">
        <f>17.590667*(29979200000/1000000000)</f>
        <v>527.35412412639994</v>
      </c>
      <c r="B312">
        <v>3.0000000000000001E-5</v>
      </c>
      <c r="C312">
        <f>(-1*B312+1/EXP((Data!$K$58*2.54)*(Data!$V$60+Data!$V$61*($A312/1000)+Data!$V$62*($A312/1000)^2+Data!$V$63*($A312/1000)^3+Data!$V$64*($A312/1000)^4+Data!$V$65*($A312/1000)^5+Data!$V$66*($A312/1000)^6+Data!$V$67*($A312/1000)^7)))</f>
        <v>0.75768209846178158</v>
      </c>
    </row>
    <row r="313" spans="1:3" x14ac:dyDescent="0.3">
      <c r="A313">
        <f>17.64107*(29979200000/1000000000)</f>
        <v>528.86516574400002</v>
      </c>
      <c r="B313">
        <v>0</v>
      </c>
      <c r="C313">
        <f>(-1*B313+1/EXP((Data!$K$58*2.54)*(Data!$V$60+Data!$V$61*($A313/1000)+Data!$V$62*($A313/1000)^2+Data!$V$63*($A313/1000)^3+Data!$V$64*($A313/1000)^4+Data!$V$65*($A313/1000)^5+Data!$V$66*($A313/1000)^6+Data!$V$67*($A313/1000)^7)))</f>
        <v>0.75729877092757714</v>
      </c>
    </row>
    <row r="314" spans="1:3" x14ac:dyDescent="0.3">
      <c r="A314">
        <f>17.691473*(29979200000/1000000000)</f>
        <v>530.3762073616</v>
      </c>
      <c r="B314">
        <v>0</v>
      </c>
      <c r="C314">
        <f>(-1*B314+1/EXP((Data!$K$58*2.54)*(Data!$V$60+Data!$V$61*($A314/1000)+Data!$V$62*($A314/1000)^2+Data!$V$63*($A314/1000)^3+Data!$V$64*($A314/1000)^4+Data!$V$65*($A314/1000)^5+Data!$V$66*($A314/1000)^6+Data!$V$67*($A314/1000)^7)))</f>
        <v>0.75688722088333715</v>
      </c>
    </row>
    <row r="315" spans="1:3" x14ac:dyDescent="0.3">
      <c r="A315">
        <f>17.741876*(29979200000/1000000000)</f>
        <v>531.88724897919997</v>
      </c>
      <c r="B315">
        <v>0</v>
      </c>
      <c r="C315">
        <f>(-1*B315+1/EXP((Data!$K$58*2.54)*(Data!$V$60+Data!$V$61*($A315/1000)+Data!$V$62*($A315/1000)^2+Data!$V$63*($A315/1000)^3+Data!$V$64*($A315/1000)^4+Data!$V$65*($A315/1000)^5+Data!$V$66*($A315/1000)^6+Data!$V$67*($A315/1000)^7)))</f>
        <v>0.75647744244900006</v>
      </c>
    </row>
    <row r="316" spans="1:3" x14ac:dyDescent="0.3">
      <c r="A316">
        <f>17.792279*(29979200000/1000000000)</f>
        <v>533.39829059680005</v>
      </c>
      <c r="B316">
        <v>0</v>
      </c>
      <c r="C316">
        <f>(-1*B316+1/EXP((Data!$K$58*2.54)*(Data!$V$60+Data!$V$61*($A316/1000)+Data!$V$62*($A316/1000)^2+Data!$V$63*($A316/1000)^3+Data!$V$64*($A316/1000)^4+Data!$V$65*($A316/1000)^5+Data!$V$66*($A316/1000)^6+Data!$V$67*($A316/1000)^7)))</f>
        <v>0.75606942975317715</v>
      </c>
    </row>
    <row r="317" spans="1:3" x14ac:dyDescent="0.3">
      <c r="A317">
        <f>17.842682*(29979200000/1000000000)</f>
        <v>534.90933221440002</v>
      </c>
      <c r="B317">
        <v>0</v>
      </c>
      <c r="C317">
        <f>(-1*B317+1/EXP((Data!$K$58*2.54)*(Data!$V$60+Data!$V$61*($A317/1000)+Data!$V$62*($A317/1000)^2+Data!$V$63*($A317/1000)^3+Data!$V$64*($A317/1000)^4+Data!$V$65*($A317/1000)^5+Data!$V$66*($A317/1000)^6+Data!$V$67*($A317/1000)^7)))</f>
        <v>0.7556631769331148</v>
      </c>
    </row>
    <row r="318" spans="1:3" x14ac:dyDescent="0.3">
      <c r="A318">
        <f>17.893085*(29979200000/1000000000)</f>
        <v>536.42037383200011</v>
      </c>
      <c r="B318">
        <v>0</v>
      </c>
      <c r="C318">
        <f>(-1*B318+1/EXP((Data!$K$58*2.54)*(Data!$V$60+Data!$V$61*($A318/1000)+Data!$V$62*($A318/1000)^2+Data!$V$63*($A318/1000)^3+Data!$V$64*($A318/1000)^4+Data!$V$65*($A318/1000)^5+Data!$V$66*($A318/1000)^6+Data!$V$67*($A318/1000)^7)))</f>
        <v>0.75525867813465342</v>
      </c>
    </row>
    <row r="319" spans="1:3" x14ac:dyDescent="0.3">
      <c r="A319">
        <f>17.943488*(29979200000/1000000000)</f>
        <v>537.93141544960008</v>
      </c>
      <c r="B319">
        <v>0</v>
      </c>
      <c r="C319">
        <f>(-1*B319+1/EXP((Data!$K$58*2.54)*(Data!$V$60+Data!$V$61*($A319/1000)+Data!$V$62*($A319/1000)^2+Data!$V$63*($A319/1000)^3+Data!$V$64*($A319/1000)^4+Data!$V$65*($A319/1000)^5+Data!$V$66*($A319/1000)^6+Data!$V$67*($A319/1000)^7)))</f>
        <v>0.75485592751218911</v>
      </c>
    </row>
    <row r="320" spans="1:3" x14ac:dyDescent="0.3">
      <c r="A320">
        <f>17.993891*(29979200000/1000000000)</f>
        <v>539.44245706720005</v>
      </c>
      <c r="B320">
        <v>0</v>
      </c>
      <c r="C320">
        <f>(-1*B320+1/EXP((Data!$K$58*2.54)*(Data!$V$60+Data!$V$61*($A320/1000)+Data!$V$62*($A320/1000)^2+Data!$V$63*($A320/1000)^3+Data!$V$64*($A320/1000)^4+Data!$V$65*($A320/1000)^5+Data!$V$66*($A320/1000)^6+Data!$V$67*($A320/1000)^7)))</f>
        <v>0.75445491922863328</v>
      </c>
    </row>
    <row r="321" spans="1:3" x14ac:dyDescent="0.3">
      <c r="A321">
        <f>18.044294*(29979200000/1000000000)</f>
        <v>540.95349868480002</v>
      </c>
      <c r="B321">
        <v>0</v>
      </c>
      <c r="C321">
        <f>(-1*B321+1/EXP((Data!$K$58*2.54)*(Data!$V$60+Data!$V$61*($A321/1000)+Data!$V$62*($A321/1000)^2+Data!$V$63*($A321/1000)^3+Data!$V$64*($A321/1000)^4+Data!$V$65*($A321/1000)^5+Data!$V$66*($A321/1000)^6+Data!$V$67*($A321/1000)^7)))</f>
        <v>0.75405564745537546</v>
      </c>
    </row>
    <row r="322" spans="1:3" x14ac:dyDescent="0.3">
      <c r="A322">
        <f>18.094697*(29979200000/1000000000)</f>
        <v>542.4645403024</v>
      </c>
      <c r="B322">
        <v>0</v>
      </c>
      <c r="C322">
        <f>(-1*B322+1/EXP((Data!$K$58*2.54)*(Data!$V$60+Data!$V$61*($A322/1000)+Data!$V$62*($A322/1000)^2+Data!$V$63*($A322/1000)^3+Data!$V$64*($A322/1000)^4+Data!$V$65*($A322/1000)^5+Data!$V$66*($A322/1000)^6+Data!$V$67*($A322/1000)^7)))</f>
        <v>0.75365810637224351</v>
      </c>
    </row>
    <row r="323" spans="1:3" x14ac:dyDescent="0.3">
      <c r="A323">
        <f>18.1451*(29979200000/1000000000)</f>
        <v>543.97558192000008</v>
      </c>
      <c r="B323">
        <v>0</v>
      </c>
      <c r="C323">
        <f>(-1*B323+1/EXP((Data!$K$58*2.54)*(Data!$V$60+Data!$V$61*($A323/1000)+Data!$V$62*($A323/1000)^2+Data!$V$63*($A323/1000)^3+Data!$V$64*($A323/1000)^4+Data!$V$65*($A323/1000)^5+Data!$V$66*($A323/1000)^6+Data!$V$67*($A323/1000)^7)))</f>
        <v>0.75326229016746615</v>
      </c>
    </row>
    <row r="324" spans="1:3" x14ac:dyDescent="0.3">
      <c r="A324">
        <f>18.195503*(29979200000/1000000000)</f>
        <v>545.48662353760005</v>
      </c>
      <c r="B324">
        <v>0</v>
      </c>
      <c r="C324">
        <f>(-1*B324+1/EXP((Data!$K$58*2.54)*(Data!$V$60+Data!$V$61*($A324/1000)+Data!$V$62*($A324/1000)^2+Data!$V$63*($A324/1000)^3+Data!$V$64*($A324/1000)^4+Data!$V$65*($A324/1000)^5+Data!$V$66*($A324/1000)^6+Data!$V$67*($A324/1000)^7)))</f>
        <v>0.7528681930376343</v>
      </c>
    </row>
    <row r="325" spans="1:3" x14ac:dyDescent="0.3">
      <c r="A325">
        <f>18.245906*(29979200000/1000000000)</f>
        <v>546.99766515520002</v>
      </c>
      <c r="B325">
        <v>0</v>
      </c>
      <c r="C325">
        <f>(-1*B325+1/EXP((Data!$K$58*2.54)*(Data!$V$60+Data!$V$61*($A325/1000)+Data!$V$62*($A325/1000)^2+Data!$V$63*($A325/1000)^3+Data!$V$64*($A325/1000)^4+Data!$V$65*($A325/1000)^5+Data!$V$66*($A325/1000)^6+Data!$V$67*($A325/1000)^7)))</f>
        <v>0.75247580918766388</v>
      </c>
    </row>
    <row r="326" spans="1:3" x14ac:dyDescent="0.3">
      <c r="A326">
        <f>18.296309*(29979200000/1000000000)</f>
        <v>548.5087067728</v>
      </c>
      <c r="B326">
        <v>0</v>
      </c>
      <c r="C326">
        <f>(-1*B326+1/EXP((Data!$K$58*2.54)*(Data!$V$60+Data!$V$61*($A326/1000)+Data!$V$62*($A326/1000)^2+Data!$V$63*($A326/1000)^3+Data!$V$64*($A326/1000)^4+Data!$V$65*($A326/1000)^5+Data!$V$66*($A326/1000)^6+Data!$V$67*($A326/1000)^7)))</f>
        <v>0.75208513283075762</v>
      </c>
    </row>
    <row r="327" spans="1:3" x14ac:dyDescent="0.3">
      <c r="A327">
        <f>18.346712*(29979200000/1000000000)</f>
        <v>550.01974839039997</v>
      </c>
      <c r="B327">
        <v>0</v>
      </c>
      <c r="C327">
        <f>(-1*B327+1/EXP((Data!$K$58*2.54)*(Data!$V$60+Data!$V$61*($A327/1000)+Data!$V$62*($A327/1000)^2+Data!$V$63*($A327/1000)^3+Data!$V$64*($A327/1000)^4+Data!$V$65*($A327/1000)^5+Data!$V$66*($A327/1000)^6+Data!$V$67*($A327/1000)^7)))</f>
        <v>0.75169615818836932</v>
      </c>
    </row>
    <row r="328" spans="1:3" x14ac:dyDescent="0.3">
      <c r="A328">
        <f>18.397115*(29979200000/1000000000)</f>
        <v>551.53079000800005</v>
      </c>
      <c r="B328">
        <v>0</v>
      </c>
      <c r="C328">
        <f>(-1*B328+1/EXP((Data!$K$58*2.54)*(Data!$V$60+Data!$V$61*($A328/1000)+Data!$V$62*($A328/1000)^2+Data!$V$63*($A328/1000)^3+Data!$V$64*($A328/1000)^4+Data!$V$65*($A328/1000)^5+Data!$V$66*($A328/1000)^6+Data!$V$67*($A328/1000)^7)))</f>
        <v>0.75130887949016456</v>
      </c>
    </row>
    <row r="329" spans="1:3" x14ac:dyDescent="0.3">
      <c r="A329">
        <f>18.447518*(29979200000/1000000000)</f>
        <v>553.04183162560003</v>
      </c>
      <c r="B329">
        <v>0</v>
      </c>
      <c r="C329">
        <f>(-1*B329+1/EXP((Data!$K$58*2.54)*(Data!$V$60+Data!$V$61*($A329/1000)+Data!$V$62*($A329/1000)^2+Data!$V$63*($A329/1000)^3+Data!$V$64*($A329/1000)^4+Data!$V$65*($A329/1000)^5+Data!$V$66*($A329/1000)^6+Data!$V$67*($A329/1000)^7)))</f>
        <v>0.75092329097398658</v>
      </c>
    </row>
    <row r="330" spans="1:3" x14ac:dyDescent="0.3">
      <c r="A330">
        <f>18.497921*(29979200000/1000000000)</f>
        <v>554.5528732432</v>
      </c>
      <c r="B330">
        <v>0</v>
      </c>
      <c r="C330">
        <f>(-1*B330+1/EXP((Data!$K$58*2.54)*(Data!$V$60+Data!$V$61*($A330/1000)+Data!$V$62*($A330/1000)^2+Data!$V$63*($A330/1000)^3+Data!$V$64*($A330/1000)^4+Data!$V$65*($A330/1000)^5+Data!$V$66*($A330/1000)^6+Data!$V$67*($A330/1000)^7)))</f>
        <v>0.75053938688581767</v>
      </c>
    </row>
    <row r="331" spans="1:3" x14ac:dyDescent="0.3">
      <c r="A331">
        <f>18.548324*(29979200000/1000000000)</f>
        <v>556.06391486079997</v>
      </c>
      <c r="B331">
        <v>0</v>
      </c>
      <c r="C331">
        <f>(-1*B331+1/EXP((Data!$K$58*2.54)*(Data!$V$60+Data!$V$61*($A331/1000)+Data!$V$62*($A331/1000)^2+Data!$V$63*($A331/1000)^3+Data!$V$64*($A331/1000)^4+Data!$V$65*($A331/1000)^5+Data!$V$66*($A331/1000)^6+Data!$V$67*($A331/1000)^7)))</f>
        <v>0.75015716147974443</v>
      </c>
    </row>
    <row r="332" spans="1:3" x14ac:dyDescent="0.3">
      <c r="A332">
        <f>18.598727*(29979200000/1000000000)</f>
        <v>557.57495647839994</v>
      </c>
      <c r="B332">
        <v>0</v>
      </c>
      <c r="C332">
        <f>(-1*B332+1/EXP((Data!$K$58*2.54)*(Data!$V$60+Data!$V$61*($A332/1000)+Data!$V$62*($A332/1000)^2+Data!$V$63*($A332/1000)^3+Data!$V$64*($A332/1000)^4+Data!$V$65*($A332/1000)^5+Data!$V$66*($A332/1000)^6+Data!$V$67*($A332/1000)^7)))</f>
        <v>0.74977660901792154</v>
      </c>
    </row>
    <row r="333" spans="1:3" x14ac:dyDescent="0.3">
      <c r="A333">
        <f>18.64913*(29979200000/1000000000)</f>
        <v>559.08599809599991</v>
      </c>
      <c r="B333">
        <v>0</v>
      </c>
      <c r="C333">
        <f>(-1*B333+1/EXP((Data!$K$58*2.54)*(Data!$V$60+Data!$V$61*($A333/1000)+Data!$V$62*($A333/1000)^2+Data!$V$63*($A333/1000)^3+Data!$V$64*($A333/1000)^4+Data!$V$65*($A333/1000)^5+Data!$V$66*($A333/1000)^6+Data!$V$67*($A333/1000)^7)))</f>
        <v>0.74939772377053504</v>
      </c>
    </row>
    <row r="334" spans="1:3" x14ac:dyDescent="0.3">
      <c r="A334">
        <f>18.699533*(29979200000/1000000000)</f>
        <v>560.5970397136</v>
      </c>
      <c r="B334">
        <v>0</v>
      </c>
      <c r="C334">
        <f>(-1*B334+1/EXP((Data!$K$58*2.54)*(Data!$V$60+Data!$V$61*($A334/1000)+Data!$V$62*($A334/1000)^2+Data!$V$63*($A334/1000)^3+Data!$V$64*($A334/1000)^4+Data!$V$65*($A334/1000)^5+Data!$V$66*($A334/1000)^6+Data!$V$67*($A334/1000)^7)))</f>
        <v>0.74902050001576914</v>
      </c>
    </row>
    <row r="335" spans="1:3" x14ac:dyDescent="0.3">
      <c r="A335">
        <f>18.749936*(29979200000/1000000000)</f>
        <v>562.10808133120008</v>
      </c>
      <c r="B335">
        <v>0</v>
      </c>
      <c r="C335">
        <f>(-1*B335+1/EXP((Data!$K$58*2.54)*(Data!$V$60+Data!$V$61*($A335/1000)+Data!$V$62*($A335/1000)^2+Data!$V$63*($A335/1000)^3+Data!$V$64*($A335/1000)^4+Data!$V$65*($A335/1000)^5+Data!$V$66*($A335/1000)^6+Data!$V$67*($A335/1000)^7)))</f>
        <v>0.74864493203976912</v>
      </c>
    </row>
    <row r="336" spans="1:3" x14ac:dyDescent="0.3">
      <c r="A336">
        <f>18.800339*(29979200000/1000000000)</f>
        <v>563.61912294880005</v>
      </c>
      <c r="B336">
        <v>0</v>
      </c>
      <c r="C336">
        <f>(-1*B336+1/EXP((Data!$K$58*2.54)*(Data!$V$60+Data!$V$61*($A336/1000)+Data!$V$62*($A336/1000)^2+Data!$V$63*($A336/1000)^3+Data!$V$64*($A336/1000)^4+Data!$V$65*($A336/1000)^5+Data!$V$66*($A336/1000)^6+Data!$V$67*($A336/1000)^7)))</f>
        <v>0.74827101413660735</v>
      </c>
    </row>
    <row r="337" spans="1:3" x14ac:dyDescent="0.3">
      <c r="A337">
        <f>18.850742*(29979200000/1000000000)</f>
        <v>565.13016456640003</v>
      </c>
      <c r="B337">
        <v>0</v>
      </c>
      <c r="C337">
        <f>(-1*B337+1/EXP((Data!$K$58*2.54)*(Data!$V$60+Data!$V$61*($A337/1000)+Data!$V$62*($A337/1000)^2+Data!$V$63*($A337/1000)^3+Data!$V$64*($A337/1000)^4+Data!$V$65*($A337/1000)^5+Data!$V$66*($A337/1000)^6+Data!$V$67*($A337/1000)^7)))</f>
        <v>0.74789874060824857</v>
      </c>
    </row>
    <row r="338" spans="1:3" x14ac:dyDescent="0.3">
      <c r="A338">
        <f>18.901145*(29979200000/1000000000)</f>
        <v>566.641206184</v>
      </c>
      <c r="B338">
        <v>0</v>
      </c>
      <c r="C338">
        <f>(-1*B338+1/EXP((Data!$K$58*2.54)*(Data!$V$60+Data!$V$61*($A338/1000)+Data!$V$62*($A338/1000)^2+Data!$V$63*($A338/1000)^3+Data!$V$64*($A338/1000)^4+Data!$V$65*($A338/1000)^5+Data!$V$66*($A338/1000)^6+Data!$V$67*($A338/1000)^7)))</f>
        <v>0.74752810576451567</v>
      </c>
    </row>
    <row r="339" spans="1:3" x14ac:dyDescent="0.3">
      <c r="A339">
        <f>18.951548*(29979200000/1000000000)</f>
        <v>568.15224780160008</v>
      </c>
      <c r="B339">
        <v>0</v>
      </c>
      <c r="C339">
        <f>(-1*B339+1/EXP((Data!$K$58*2.54)*(Data!$V$60+Data!$V$61*($A339/1000)+Data!$V$62*($A339/1000)^2+Data!$V$63*($A339/1000)^3+Data!$V$64*($A339/1000)^4+Data!$V$65*($A339/1000)^5+Data!$V$66*($A339/1000)^6+Data!$V$67*($A339/1000)^7)))</f>
        <v>0.74715910392305562</v>
      </c>
    </row>
    <row r="340" spans="1:3" x14ac:dyDescent="0.3">
      <c r="A340">
        <f>19.001951*(29979200000/1000000000)</f>
        <v>569.66328941920005</v>
      </c>
      <c r="B340">
        <v>0</v>
      </c>
      <c r="C340">
        <f>(-1*B340+1/EXP((Data!$K$58*2.54)*(Data!$V$60+Data!$V$61*($A340/1000)+Data!$V$62*($A340/1000)^2+Data!$V$63*($A340/1000)^3+Data!$V$64*($A340/1000)^4+Data!$V$65*($A340/1000)^5+Data!$V$66*($A340/1000)^6+Data!$V$67*($A340/1000)^7)))</f>
        <v>0.74679172940930549</v>
      </c>
    </row>
    <row r="341" spans="1:3" x14ac:dyDescent="0.3">
      <c r="A341">
        <f>19.052354*(29979200000/1000000000)</f>
        <v>571.17433103680003</v>
      </c>
      <c r="B341">
        <v>8.0000000000000007E-5</v>
      </c>
      <c r="C341">
        <f>(-1*B341+1/EXP((Data!$K$58*2.54)*(Data!$V$60+Data!$V$61*($A341/1000)+Data!$V$62*($A341/1000)^2+Data!$V$63*($A341/1000)^3+Data!$V$64*($A341/1000)^4+Data!$V$65*($A341/1000)^5+Data!$V$66*($A341/1000)^6+Data!$V$67*($A341/1000)^7)))</f>
        <v>0.74634597655645918</v>
      </c>
    </row>
    <row r="342" spans="1:3" x14ac:dyDescent="0.3">
      <c r="A342">
        <f>19.102757*(29979200000/1000000000)</f>
        <v>572.6853726544</v>
      </c>
      <c r="B342">
        <v>1.2E-4</v>
      </c>
      <c r="C342">
        <f>(-1*B342+1/EXP((Data!$K$58*2.54)*(Data!$V$60+Data!$V$61*($A342/1000)+Data!$V$62*($A342/1000)^2+Data!$V$63*($A342/1000)^3+Data!$V$64*($A342/1000)^4+Data!$V$65*($A342/1000)^5+Data!$V$66*($A342/1000)^6+Data!$V$67*($A342/1000)^7)))</f>
        <v>0.74594183970543415</v>
      </c>
    </row>
    <row r="343" spans="1:3" x14ac:dyDescent="0.3">
      <c r="A343">
        <f>19.15316*(29979200000/1000000000)</f>
        <v>574.19641427199997</v>
      </c>
      <c r="B343">
        <v>2.0000000000000002E-5</v>
      </c>
      <c r="C343">
        <f>(-1*B343+1/EXP((Data!$K$58*2.54)*(Data!$V$60+Data!$V$61*($A343/1000)+Data!$V$62*($A343/1000)^2+Data!$V$63*($A343/1000)^3+Data!$V$64*($A343/1000)^4+Data!$V$65*($A343/1000)^5+Data!$V$66*($A343/1000)^6+Data!$V$67*($A343/1000)^7)))</f>
        <v>0.74567931320483782</v>
      </c>
    </row>
    <row r="344" spans="1:3" x14ac:dyDescent="0.3">
      <c r="A344">
        <f>19.203563*(29979200000/1000000000)</f>
        <v>575.70745588960006</v>
      </c>
      <c r="B344">
        <v>1.0000000000000001E-5</v>
      </c>
      <c r="C344">
        <f>(-1*B344+1/EXP((Data!$K$58*2.54)*(Data!$V$60+Data!$V$61*($A344/1000)+Data!$V$62*($A344/1000)^2+Data!$V$63*($A344/1000)^3+Data!$V$64*($A344/1000)^4+Data!$V$65*($A344/1000)^5+Data!$V$66*($A344/1000)^6+Data!$V$67*($A344/1000)^7)))</f>
        <v>0.74532839141093599</v>
      </c>
    </row>
    <row r="345" spans="1:3" x14ac:dyDescent="0.3">
      <c r="A345">
        <f>19.253966*(29979200000/1000000000)</f>
        <v>577.21849750720003</v>
      </c>
      <c r="B345">
        <v>1.8000000000000001E-4</v>
      </c>
      <c r="C345">
        <f>(-1*B345+1/EXP((Data!$K$58*2.54)*(Data!$V$60+Data!$V$61*($A345/1000)+Data!$V$62*($A345/1000)^2+Data!$V$63*($A345/1000)^3+Data!$V$64*($A345/1000)^4+Data!$V$65*($A345/1000)^5+Data!$V$66*($A345/1000)^6+Data!$V$67*($A345/1000)^7)))</f>
        <v>0.74479906868761925</v>
      </c>
    </row>
    <row r="346" spans="1:3" x14ac:dyDescent="0.3">
      <c r="A346">
        <f>19.304369*(29979200000/1000000000)</f>
        <v>578.7295391248</v>
      </c>
      <c r="B346">
        <v>2.0000000000000001E-4</v>
      </c>
      <c r="C346">
        <f>(-1*B346+1/EXP((Data!$K$58*2.54)*(Data!$V$60+Data!$V$61*($A346/1000)+Data!$V$62*($A346/1000)^2+Data!$V$63*($A346/1000)^3+Data!$V$64*($A346/1000)^4+Data!$V$65*($A346/1000)^5+Data!$V$66*($A346/1000)^6+Data!$V$67*($A346/1000)^7)))</f>
        <v>0.74442133940637156</v>
      </c>
    </row>
    <row r="347" spans="1:3" x14ac:dyDescent="0.3">
      <c r="A347">
        <f>19.354772*(29979200000/1000000000)</f>
        <v>580.24058074239997</v>
      </c>
      <c r="B347">
        <v>3.0000000000000001E-5</v>
      </c>
      <c r="C347">
        <f>(-1*B347+1/EXP((Data!$K$58*2.54)*(Data!$V$60+Data!$V$61*($A347/1000)+Data!$V$62*($A347/1000)^2+Data!$V$63*($A347/1000)^3+Data!$V$64*($A347/1000)^4+Data!$V$65*($A347/1000)^5+Data!$V$66*($A347/1000)^6+Data!$V$67*($A347/1000)^7)))</f>
        <v>0.74423519794623816</v>
      </c>
    </row>
    <row r="348" spans="1:3" x14ac:dyDescent="0.3">
      <c r="A348">
        <f>19.405175*(29979200000/1000000000)</f>
        <v>581.75162235999994</v>
      </c>
      <c r="B348">
        <v>1.2999999999999999E-4</v>
      </c>
      <c r="C348">
        <f>(-1*B348+1/EXP((Data!$K$58*2.54)*(Data!$V$60+Data!$V$61*($A348/1000)+Data!$V$62*($A348/1000)^2+Data!$V$63*($A348/1000)^3+Data!$V$64*($A348/1000)^4+Data!$V$65*($A348/1000)^5+Data!$V$66*($A348/1000)^6+Data!$V$67*($A348/1000)^7)))</f>
        <v>0.74378063869379329</v>
      </c>
    </row>
    <row r="349" spans="1:3" x14ac:dyDescent="0.3">
      <c r="A349">
        <f>19.455578*(29979200000/1000000000)</f>
        <v>583.26266397760003</v>
      </c>
      <c r="B349">
        <v>9.0000000000000006E-5</v>
      </c>
      <c r="C349">
        <f>(-1*B349+1/EXP((Data!$K$58*2.54)*(Data!$V$60+Data!$V$61*($A349/1000)+Data!$V$62*($A349/1000)^2+Data!$V$63*($A349/1000)^3+Data!$V$64*($A349/1000)^4+Data!$V$65*($A349/1000)^5+Data!$V$66*($A349/1000)^6+Data!$V$67*($A349/1000)^7)))</f>
        <v>0.74346765604310938</v>
      </c>
    </row>
    <row r="350" spans="1:3" x14ac:dyDescent="0.3">
      <c r="A350">
        <f>19.505981*(29979200000/1000000000)</f>
        <v>584.7737055952</v>
      </c>
      <c r="B350">
        <v>0</v>
      </c>
      <c r="C350">
        <f>(-1*B350+1/EXP((Data!$K$58*2.54)*(Data!$V$60+Data!$V$61*($A350/1000)+Data!$V$62*($A350/1000)^2+Data!$V$63*($A350/1000)^3+Data!$V$64*($A350/1000)^4+Data!$V$65*($A350/1000)^5+Data!$V$66*($A350/1000)^6+Data!$V$67*($A350/1000)^7)))</f>
        <v>0.74320624439572647</v>
      </c>
    </row>
    <row r="351" spans="1:3" x14ac:dyDescent="0.3">
      <c r="A351">
        <f>19.556384*(29979200000/1000000000)</f>
        <v>586.28474721279997</v>
      </c>
      <c r="B351">
        <v>1.4999999999999999E-4</v>
      </c>
      <c r="C351">
        <f>(-1*B351+1/EXP((Data!$K$58*2.54)*(Data!$V$60+Data!$V$61*($A351/1000)+Data!$V$62*($A351/1000)^2+Data!$V$63*($A351/1000)^3+Data!$V$64*($A351/1000)^4+Data!$V$65*($A351/1000)^5+Data!$V$66*($A351/1000)^6+Data!$V$67*($A351/1000)^7)))</f>
        <v>0.74270639816061967</v>
      </c>
    </row>
    <row r="352" spans="1:3" x14ac:dyDescent="0.3">
      <c r="A352">
        <f>19.606787*(29979200000/1000000000)</f>
        <v>587.79578883039994</v>
      </c>
      <c r="B352">
        <v>1.7000000000000001E-4</v>
      </c>
      <c r="C352">
        <f>(-1*B352+1/EXP((Data!$K$58*2.54)*(Data!$V$60+Data!$V$61*($A352/1000)+Data!$V$62*($A352/1000)^2+Data!$V$63*($A352/1000)^3+Data!$V$64*($A352/1000)^4+Data!$V$65*($A352/1000)^5+Data!$V$66*($A352/1000)^6+Data!$V$67*($A352/1000)^7)))</f>
        <v>0.74233811175417019</v>
      </c>
    </row>
    <row r="353" spans="1:3" x14ac:dyDescent="0.3">
      <c r="A353">
        <f>19.65719*(29979200000/1000000000)</f>
        <v>589.30683044800003</v>
      </c>
      <c r="B353">
        <v>2.1000000000000001E-4</v>
      </c>
      <c r="C353">
        <f>(-1*B353+1/EXP((Data!$K$58*2.54)*(Data!$V$60+Data!$V$61*($A353/1000)+Data!$V$62*($A353/1000)^2+Data!$V$63*($A353/1000)^3+Data!$V$64*($A353/1000)^4+Data!$V$65*($A353/1000)^5+Data!$V$66*($A353/1000)^6+Data!$V$67*($A353/1000)^7)))</f>
        <v>0.74195137960013413</v>
      </c>
    </row>
    <row r="354" spans="1:3" x14ac:dyDescent="0.3">
      <c r="A354">
        <f>19.707593*(29979200000/1000000000)</f>
        <v>590.81787206560011</v>
      </c>
      <c r="B354">
        <v>1.8000000000000001E-4</v>
      </c>
      <c r="C354">
        <f>(-1*B354+1/EXP((Data!$K$58*2.54)*(Data!$V$60+Data!$V$61*($A354/1000)+Data!$V$62*($A354/1000)^2+Data!$V$63*($A354/1000)^3+Data!$V$64*($A354/1000)^4+Data!$V$65*($A354/1000)^5+Data!$V$66*($A354/1000)^6+Data!$V$67*($A354/1000)^7)))</f>
        <v>0.74163619612961273</v>
      </c>
    </row>
    <row r="355" spans="1:3" x14ac:dyDescent="0.3">
      <c r="A355">
        <f>19.757996*(29979200000/1000000000)</f>
        <v>592.32891368320008</v>
      </c>
      <c r="B355">
        <v>9.0000000000000006E-5</v>
      </c>
      <c r="C355">
        <f>(-1*B355+1/EXP((Data!$K$58*2.54)*(Data!$V$60+Data!$V$61*($A355/1000)+Data!$V$62*($A355/1000)^2+Data!$V$63*($A355/1000)^3+Data!$V$64*($A355/1000)^4+Data!$V$65*($A355/1000)^5+Data!$V$66*($A355/1000)^6+Data!$V$67*($A355/1000)^7)))</f>
        <v>0.7413825557810223</v>
      </c>
    </row>
    <row r="356" spans="1:3" x14ac:dyDescent="0.3">
      <c r="A356">
        <f>19.808399*(29979200000/1000000000)</f>
        <v>593.83995530080006</v>
      </c>
      <c r="B356">
        <v>1.6000000000000001E-4</v>
      </c>
      <c r="C356">
        <f>(-1*B356+1/EXP((Data!$K$58*2.54)*(Data!$V$60+Data!$V$61*($A356/1000)+Data!$V$62*($A356/1000)^2+Data!$V$63*($A356/1000)^3+Data!$V$64*($A356/1000)^4+Data!$V$65*($A356/1000)^5+Data!$V$66*($A356/1000)^6+Data!$V$67*($A356/1000)^7)))</f>
        <v>0.74097045300006514</v>
      </c>
    </row>
    <row r="357" spans="1:3" x14ac:dyDescent="0.3">
      <c r="A357">
        <f>19.858802*(29979200000/1000000000)</f>
        <v>595.35099691840003</v>
      </c>
      <c r="B357">
        <v>6.0000000000000002E-5</v>
      </c>
      <c r="C357">
        <f>(-1*B357+1/EXP((Data!$K$58*2.54)*(Data!$V$60+Data!$V$61*($A357/1000)+Data!$V$62*($A357/1000)^2+Data!$V$63*($A357/1000)^3+Data!$V$64*($A357/1000)^4+Data!$V$65*($A357/1000)^5+Data!$V$66*($A357/1000)^6+Data!$V$67*($A357/1000)^7)))</f>
        <v>0.74072988223969993</v>
      </c>
    </row>
    <row r="358" spans="1:3" x14ac:dyDescent="0.3">
      <c r="A358">
        <f>19.909205*(29979200000/1000000000)</f>
        <v>596.862038536</v>
      </c>
      <c r="B358">
        <v>3.0000000000000001E-5</v>
      </c>
      <c r="C358">
        <f>(-1*B358+1/EXP((Data!$K$58*2.54)*(Data!$V$60+Data!$V$61*($A358/1000)+Data!$V$62*($A358/1000)^2+Data!$V$63*($A358/1000)^3+Data!$V$64*($A358/1000)^4+Data!$V$65*($A358/1000)^5+Data!$V$66*($A358/1000)^6+Data!$V$67*($A358/1000)^7)))</f>
        <v>0.74042083796011204</v>
      </c>
    </row>
    <row r="359" spans="1:3" x14ac:dyDescent="0.3">
      <c r="A359">
        <f>19.959608*(29979200000/1000000000)</f>
        <v>598.37308015360009</v>
      </c>
      <c r="B359">
        <v>1.4999999999999999E-4</v>
      </c>
      <c r="C359">
        <f>(-1*B359+1/EXP((Data!$K$58*2.54)*(Data!$V$60+Data!$V$61*($A359/1000)+Data!$V$62*($A359/1000)^2+Data!$V$63*($A359/1000)^3+Data!$V$64*($A359/1000)^4+Data!$V$65*($A359/1000)^5+Data!$V$66*($A359/1000)^6+Data!$V$67*($A359/1000)^7)))</f>
        <v>0.73996331462868659</v>
      </c>
    </row>
    <row r="360" spans="1:3" x14ac:dyDescent="0.3">
      <c r="A360">
        <f>20.010011*(29979200000/1000000000)</f>
        <v>599.88412177120006</v>
      </c>
      <c r="B360">
        <v>9.0000000000000006E-5</v>
      </c>
      <c r="C360">
        <f>(-1*B360+1/EXP((Data!$K$58*2.54)*(Data!$V$60+Data!$V$61*($A360/1000)+Data!$V$62*($A360/1000)^2+Data!$V$63*($A360/1000)^3+Data!$V$64*($A360/1000)^4+Data!$V$65*($A360/1000)^5+Data!$V$66*($A360/1000)^6+Data!$V$67*($A360/1000)^7)))</f>
        <v>0.73968730671997807</v>
      </c>
    </row>
    <row r="361" spans="1:3" x14ac:dyDescent="0.3">
      <c r="A361">
        <f>20.060414*(29979200000/1000000000)</f>
        <v>601.39516338880003</v>
      </c>
      <c r="B361">
        <v>1E-4</v>
      </c>
      <c r="C361">
        <f>(-1*B361+1/EXP((Data!$K$58*2.54)*(Data!$V$60+Data!$V$61*($A361/1000)+Data!$V$62*($A361/1000)^2+Data!$V$63*($A361/1000)^3+Data!$V$64*($A361/1000)^4+Data!$V$65*($A361/1000)^5+Data!$V$66*($A361/1000)^6+Data!$V$67*($A361/1000)^7)))</f>
        <v>0.73934280871568359</v>
      </c>
    </row>
    <row r="362" spans="1:3" x14ac:dyDescent="0.3">
      <c r="A362">
        <f>20.110817*(29979200000/1000000000)</f>
        <v>602.9062050064</v>
      </c>
      <c r="B362">
        <v>1E-4</v>
      </c>
      <c r="C362">
        <f>(-1*B362+1/EXP((Data!$K$58*2.54)*(Data!$V$60+Data!$V$61*($A362/1000)+Data!$V$62*($A362/1000)^2+Data!$V$63*($A362/1000)^3+Data!$V$64*($A362/1000)^4+Data!$V$65*($A362/1000)^5+Data!$V$66*($A362/1000)^6+Data!$V$67*($A362/1000)^7)))</f>
        <v>0.73900981510461372</v>
      </c>
    </row>
    <row r="363" spans="1:3" x14ac:dyDescent="0.3">
      <c r="A363">
        <f>20.16122*(29979200000/1000000000)</f>
        <v>604.41724662399997</v>
      </c>
      <c r="B363">
        <v>1.2999999999999999E-4</v>
      </c>
      <c r="C363">
        <f>(-1*B363+1/EXP((Data!$K$58*2.54)*(Data!$V$60+Data!$V$61*($A363/1000)+Data!$V$62*($A363/1000)^2+Data!$V$63*($A363/1000)^3+Data!$V$64*($A363/1000)^4+Data!$V$65*($A363/1000)^5+Data!$V$66*($A363/1000)^6+Data!$V$67*($A363/1000)^7)))</f>
        <v>0.73864832038266559</v>
      </c>
    </row>
    <row r="364" spans="1:3" x14ac:dyDescent="0.3">
      <c r="A364">
        <f>20.211623*(29979200000/1000000000)</f>
        <v>605.92828824160006</v>
      </c>
      <c r="B364">
        <v>1.7000000000000001E-4</v>
      </c>
      <c r="C364">
        <f>(-1*B364+1/EXP((Data!$K$58*2.54)*(Data!$V$60+Data!$V$61*($A364/1000)+Data!$V$62*($A364/1000)^2+Data!$V$63*($A364/1000)^3+Data!$V$64*($A364/1000)^4+Data!$V$65*($A364/1000)^5+Data!$V$66*($A364/1000)^6+Data!$V$67*($A364/1000)^7)))</f>
        <v>0.73827831905279551</v>
      </c>
    </row>
    <row r="365" spans="1:3" x14ac:dyDescent="0.3">
      <c r="A365">
        <f>20.262026*(29979200000/1000000000)</f>
        <v>607.43932985920003</v>
      </c>
      <c r="B365">
        <v>1.6000000000000001E-4</v>
      </c>
      <c r="C365">
        <f>(-1*B365+1/EXP((Data!$K$58*2.54)*(Data!$V$60+Data!$V$61*($A365/1000)+Data!$V$62*($A365/1000)^2+Data!$V$63*($A365/1000)^3+Data!$V$64*($A365/1000)^4+Data!$V$65*($A365/1000)^5+Data!$V$66*($A365/1000)^6+Data!$V$67*($A365/1000)^7)))</f>
        <v>0.73795980562499131</v>
      </c>
    </row>
    <row r="366" spans="1:3" x14ac:dyDescent="0.3">
      <c r="A366">
        <f>20.312429*(29979200000/1000000000)</f>
        <v>608.9503714768</v>
      </c>
      <c r="B366">
        <v>1.2E-4</v>
      </c>
      <c r="C366">
        <f>(-1*B366+1/EXP((Data!$K$58*2.54)*(Data!$V$60+Data!$V$61*($A366/1000)+Data!$V$62*($A366/1000)^2+Data!$V$63*($A366/1000)^3+Data!$V$64*($A366/1000)^4+Data!$V$65*($A366/1000)^5+Data!$V$66*($A366/1000)^6+Data!$V$67*($A366/1000)^7)))</f>
        <v>0.73767277461624592</v>
      </c>
    </row>
    <row r="367" spans="1:3" x14ac:dyDescent="0.3">
      <c r="A367">
        <f>20.362832*(29979200000/1000000000)</f>
        <v>610.46141309439997</v>
      </c>
      <c r="B367">
        <v>3.0000000000000001E-5</v>
      </c>
      <c r="C367">
        <f>(-1*B367+1/EXP((Data!$K$58*2.54)*(Data!$V$60+Data!$V$61*($A367/1000)+Data!$V$62*($A367/1000)^2+Data!$V$63*($A367/1000)^3+Data!$V$64*($A367/1000)^4+Data!$V$65*($A367/1000)^5+Data!$V$66*($A367/1000)^6+Data!$V$67*($A367/1000)^7)))</f>
        <v>0.73743722055053074</v>
      </c>
    </row>
    <row r="368" spans="1:3" x14ac:dyDescent="0.3">
      <c r="A368">
        <f>20.413235*(29979200000/1000000000)</f>
        <v>611.97245471199994</v>
      </c>
      <c r="B368">
        <v>0</v>
      </c>
      <c r="C368">
        <f>(-1*B368+1/EXP((Data!$K$58*2.54)*(Data!$V$60+Data!$V$61*($A368/1000)+Data!$V$62*($A368/1000)^2+Data!$V$63*($A368/1000)^3+Data!$V$64*($A368/1000)^4+Data!$V$65*($A368/1000)^5+Data!$V$66*($A368/1000)^6+Data!$V$67*($A368/1000)^7)))</f>
        <v>0.73714313795876862</v>
      </c>
    </row>
    <row r="369" spans="1:3" x14ac:dyDescent="0.3">
      <c r="A369">
        <f>20.463638*(29979200000/1000000000)</f>
        <v>613.48349632960003</v>
      </c>
      <c r="B369">
        <v>1.0000000000000001E-5</v>
      </c>
      <c r="C369">
        <f>(-1*B369+1/EXP((Data!$K$58*2.54)*(Data!$V$60+Data!$V$61*($A369/1000)+Data!$V$62*($A369/1000)^2+Data!$V$63*($A369/1000)^3+Data!$V$64*($A369/1000)^4+Data!$V$65*($A369/1000)^5+Data!$V$66*($A369/1000)^6+Data!$V$67*($A369/1000)^7)))</f>
        <v>0.7368105213788092</v>
      </c>
    </row>
    <row r="370" spans="1:3" x14ac:dyDescent="0.3">
      <c r="A370">
        <f>20.514041*(29979200000/1000000000)</f>
        <v>614.9945379472</v>
      </c>
      <c r="B370">
        <v>2.0000000000000002E-5</v>
      </c>
      <c r="C370">
        <f>(-1*B370+1/EXP((Data!$K$58*2.54)*(Data!$V$60+Data!$V$61*($A370/1000)+Data!$V$62*($A370/1000)^2+Data!$V$63*($A370/1000)^3+Data!$V$64*($A370/1000)^4+Data!$V$65*($A370/1000)^5+Data!$V$66*($A370/1000)^6+Data!$V$67*($A370/1000)^7)))</f>
        <v>0.73647936535540148</v>
      </c>
    </row>
    <row r="371" spans="1:3" x14ac:dyDescent="0.3">
      <c r="A371">
        <f>20.564444*(29979200000/1000000000)</f>
        <v>616.50557956479997</v>
      </c>
      <c r="B371">
        <v>2.1000000000000001E-4</v>
      </c>
      <c r="C371">
        <f>(-1*B371+1/EXP((Data!$K$58*2.54)*(Data!$V$60+Data!$V$61*($A371/1000)+Data!$V$62*($A371/1000)^2+Data!$V$63*($A371/1000)^3+Data!$V$64*($A371/1000)^4+Data!$V$65*($A371/1000)^5+Data!$V$66*($A371/1000)^6+Data!$V$67*($A371/1000)^7)))</f>
        <v>0.73596966444016976</v>
      </c>
    </row>
    <row r="372" spans="1:3" x14ac:dyDescent="0.3">
      <c r="A372">
        <f>20.614847*(29979200000/1000000000)</f>
        <v>618.01662118240006</v>
      </c>
      <c r="B372">
        <v>3.5E-4</v>
      </c>
      <c r="C372">
        <f>(-1*B372+1/EXP((Data!$K$58*2.54)*(Data!$V$60+Data!$V$61*($A372/1000)+Data!$V$62*($A372/1000)^2+Data!$V$63*($A372/1000)^3+Data!$V$64*($A372/1000)^4+Data!$V$65*($A372/1000)^5+Data!$V$66*($A372/1000)^6+Data!$V$67*($A372/1000)^7)))</f>
        <v>0.7355114131915873</v>
      </c>
    </row>
    <row r="373" spans="1:3" x14ac:dyDescent="0.3">
      <c r="A373">
        <f>20.66525*(29979200000/1000000000)</f>
        <v>619.52766280000003</v>
      </c>
      <c r="B373">
        <v>2.9999999999999997E-4</v>
      </c>
      <c r="C373">
        <f>(-1*B373+1/EXP((Data!$K$58*2.54)*(Data!$V$60+Data!$V$61*($A373/1000)+Data!$V$62*($A373/1000)^2+Data!$V$63*($A373/1000)^3+Data!$V$64*($A373/1000)^4+Data!$V$65*($A373/1000)^5+Data!$V$66*($A373/1000)^6+Data!$V$67*($A373/1000)^7)))</f>
        <v>0.73524460617495158</v>
      </c>
    </row>
    <row r="374" spans="1:3" x14ac:dyDescent="0.3">
      <c r="A374">
        <f>20.715653*(29979200000/1000000000)</f>
        <v>621.0387044176</v>
      </c>
      <c r="B374">
        <v>2.5000000000000001E-4</v>
      </c>
      <c r="C374">
        <f>(-1*B374+1/EXP((Data!$K$58*2.54)*(Data!$V$60+Data!$V$61*($A374/1000)+Data!$V$62*($A374/1000)^2+Data!$V$63*($A374/1000)^3+Data!$V$64*($A374/1000)^4+Data!$V$65*($A374/1000)^5+Data!$V$66*($A374/1000)^6+Data!$V$67*($A374/1000)^7)))</f>
        <v>0.73497923796236009</v>
      </c>
    </row>
    <row r="375" spans="1:3" x14ac:dyDescent="0.3">
      <c r="A375">
        <f>20.766056*(29979200000/1000000000)</f>
        <v>622.54974603520009</v>
      </c>
      <c r="B375">
        <v>2.2000000000000001E-4</v>
      </c>
      <c r="C375">
        <f>(-1*B375+1/EXP((Data!$K$58*2.54)*(Data!$V$60+Data!$V$61*($A375/1000)+Data!$V$62*($A375/1000)^2+Data!$V$63*($A375/1000)^3+Data!$V$64*($A375/1000)^4+Data!$V$65*($A375/1000)^5+Data!$V$66*($A375/1000)^6+Data!$V$67*($A375/1000)^7)))</f>
        <v>0.73469530313268538</v>
      </c>
    </row>
    <row r="376" spans="1:3" x14ac:dyDescent="0.3">
      <c r="A376">
        <f>20.816459*(29979200000/1000000000)</f>
        <v>624.06078765280006</v>
      </c>
      <c r="B376">
        <v>1.4999999999999999E-4</v>
      </c>
      <c r="C376">
        <f>(-1*B376+1/EXP((Data!$K$58*2.54)*(Data!$V$60+Data!$V$61*($A376/1000)+Data!$V$62*($A376/1000)^2+Data!$V$63*($A376/1000)^3+Data!$V$64*($A376/1000)^4+Data!$V$65*($A376/1000)^5+Data!$V$66*($A376/1000)^6+Data!$V$67*($A376/1000)^7)))</f>
        <v>0.73445279627155113</v>
      </c>
    </row>
    <row r="377" spans="1:3" x14ac:dyDescent="0.3">
      <c r="A377">
        <f>20.866862*(29979200000/1000000000)</f>
        <v>625.57182927040003</v>
      </c>
      <c r="B377">
        <v>2.0000000000000001E-4</v>
      </c>
      <c r="C377">
        <f>(-1*B377+1/EXP((Data!$K$58*2.54)*(Data!$V$60+Data!$V$61*($A377/1000)+Data!$V$62*($A377/1000)^2+Data!$V$63*($A377/1000)^3+Data!$V$64*($A377/1000)^4+Data!$V$65*($A377/1000)^5+Data!$V$66*($A377/1000)^6+Data!$V$67*($A377/1000)^7)))</f>
        <v>0.73409171197130807</v>
      </c>
    </row>
    <row r="378" spans="1:3" x14ac:dyDescent="0.3">
      <c r="A378">
        <f>20.917265*(29979200000/1000000000)</f>
        <v>627.082870888</v>
      </c>
      <c r="B378">
        <v>3.6999999999999999E-4</v>
      </c>
      <c r="C378">
        <f>(-1*B378+1/EXP((Data!$K$58*2.54)*(Data!$V$60+Data!$V$61*($A378/1000)+Data!$V$62*($A378/1000)^2+Data!$V$63*($A378/1000)^3+Data!$V$64*($A378/1000)^4+Data!$V$65*($A378/1000)^5+Data!$V$66*($A378/1000)^6+Data!$V$67*($A378/1000)^7)))</f>
        <v>0.73361204483101017</v>
      </c>
    </row>
    <row r="379" spans="1:3" x14ac:dyDescent="0.3">
      <c r="A379">
        <f>20.967668*(29979200000/1000000000)</f>
        <v>628.59391250559997</v>
      </c>
      <c r="B379">
        <v>4.0000000000000002E-4</v>
      </c>
      <c r="C379">
        <f>(-1*B379+1/EXP((Data!$K$58*2.54)*(Data!$V$60+Data!$V$61*($A379/1000)+Data!$V$62*($A379/1000)^2+Data!$V$63*($A379/1000)^3+Data!$V$64*($A379/1000)^4+Data!$V$65*($A379/1000)^5+Data!$V$66*($A379/1000)^6+Data!$V$67*($A379/1000)^7)))</f>
        <v>0.73327378945639188</v>
      </c>
    </row>
    <row r="380" spans="1:3" x14ac:dyDescent="0.3">
      <c r="A380">
        <f>21.018071*(29979200000/1000000000)</f>
        <v>630.10495412320006</v>
      </c>
      <c r="B380">
        <v>6.0999999999999997E-4</v>
      </c>
      <c r="C380">
        <f>(-1*B380+1/EXP((Data!$K$58*2.54)*(Data!$V$60+Data!$V$61*($A380/1000)+Data!$V$62*($A380/1000)^2+Data!$V$63*($A380/1000)^3+Data!$V$64*($A380/1000)^4+Data!$V$65*($A380/1000)^5+Data!$V$66*($A380/1000)^6+Data!$V$67*($A380/1000)^7)))</f>
        <v>0.73275694045984419</v>
      </c>
    </row>
    <row r="381" spans="1:3" x14ac:dyDescent="0.3">
      <c r="A381">
        <f>21.068474*(29979200000/1000000000)</f>
        <v>631.61599574080003</v>
      </c>
      <c r="B381">
        <v>8.4000000000000003E-4</v>
      </c>
      <c r="C381">
        <f>(-1*B381+1/EXP((Data!$K$58*2.54)*(Data!$V$60+Data!$V$61*($A381/1000)+Data!$V$62*($A381/1000)^2+Data!$V$63*($A381/1000)^3+Data!$V$64*($A381/1000)^4+Data!$V$65*($A381/1000)^5+Data!$V$66*($A381/1000)^6+Data!$V$67*($A381/1000)^7)))</f>
        <v>0.73222149246039325</v>
      </c>
    </row>
    <row r="382" spans="1:3" x14ac:dyDescent="0.3">
      <c r="A382">
        <f>21.118877*(29979200000/1000000000)</f>
        <v>633.1270373584</v>
      </c>
      <c r="B382">
        <v>1.23E-3</v>
      </c>
      <c r="C382">
        <f>(-1*B382+1/EXP((Data!$K$58*2.54)*(Data!$V$60+Data!$V$61*($A382/1000)+Data!$V$62*($A382/1000)^2+Data!$V$63*($A382/1000)^3+Data!$V$64*($A382/1000)^4+Data!$V$65*($A382/1000)^5+Data!$V$66*($A382/1000)^6+Data!$V$67*($A382/1000)^7)))</f>
        <v>0.73152744008367554</v>
      </c>
    </row>
    <row r="383" spans="1:3" x14ac:dyDescent="0.3">
      <c r="A383">
        <f>21.16928*(29979200000/1000000000)</f>
        <v>634.63807897599997</v>
      </c>
      <c r="B383">
        <v>1.97E-3</v>
      </c>
      <c r="C383">
        <f>(-1*B383+1/EXP((Data!$K$58*2.54)*(Data!$V$60+Data!$V$61*($A383/1000)+Data!$V$62*($A383/1000)^2+Data!$V$63*($A383/1000)^3+Data!$V$64*($A383/1000)^4+Data!$V$65*($A383/1000)^5+Data!$V$66*($A383/1000)^6+Data!$V$67*($A383/1000)^7)))</f>
        <v>0.73048477796191769</v>
      </c>
    </row>
    <row r="384" spans="1:3" x14ac:dyDescent="0.3">
      <c r="A384">
        <f>21.219683*(29979200000/1000000000)</f>
        <v>636.14912059360006</v>
      </c>
      <c r="B384">
        <v>3.46E-3</v>
      </c>
      <c r="C384">
        <f>(-1*B384+1/EXP((Data!$K$58*2.54)*(Data!$V$60+Data!$V$61*($A384/1000)+Data!$V$62*($A384/1000)^2+Data!$V$63*($A384/1000)^3+Data!$V$64*($A384/1000)^4+Data!$V$65*($A384/1000)^5+Data!$V$66*($A384/1000)^6+Data!$V$67*($A384/1000)^7)))</f>
        <v>0.72869350073391348</v>
      </c>
    </row>
    <row r="385" spans="1:3" x14ac:dyDescent="0.3">
      <c r="A385">
        <f>21.270086*(29979200000/1000000000)</f>
        <v>637.66016221120003</v>
      </c>
      <c r="B385">
        <v>5.7099999999999998E-3</v>
      </c>
      <c r="C385">
        <f>(-1*B385+1/EXP((Data!$K$58*2.54)*(Data!$V$60+Data!$V$61*($A385/1000)+Data!$V$62*($A385/1000)^2+Data!$V$63*($A385/1000)^3+Data!$V$64*($A385/1000)^4+Data!$V$65*($A385/1000)^5+Data!$V$66*($A385/1000)^6+Data!$V$67*($A385/1000)^7)))</f>
        <v>0.72614360304500247</v>
      </c>
    </row>
    <row r="386" spans="1:3" x14ac:dyDescent="0.3">
      <c r="A386">
        <f>21.320489*(29979200000/1000000000)</f>
        <v>639.1712038288</v>
      </c>
      <c r="B386">
        <v>7.5199999999999998E-3</v>
      </c>
      <c r="C386">
        <f>(-1*B386+1/EXP((Data!$K$58*2.54)*(Data!$V$60+Data!$V$61*($A386/1000)+Data!$V$62*($A386/1000)^2+Data!$V$63*($A386/1000)^3+Data!$V$64*($A386/1000)^4+Data!$V$65*($A386/1000)^5+Data!$V$66*($A386/1000)^6+Data!$V$67*($A386/1000)^7)))</f>
        <v>0.72403507954704815</v>
      </c>
    </row>
    <row r="387" spans="1:3" x14ac:dyDescent="0.3">
      <c r="A387">
        <f>21.370892*(29979200000/1000000000)</f>
        <v>640.68224544639997</v>
      </c>
      <c r="B387">
        <v>8.6700000000000006E-3</v>
      </c>
      <c r="C387">
        <f>(-1*B387+1/EXP((Data!$K$58*2.54)*(Data!$V$60+Data!$V$61*($A387/1000)+Data!$V$62*($A387/1000)^2+Data!$V$63*($A387/1000)^3+Data!$V$64*($A387/1000)^4+Data!$V$65*($A387/1000)^5+Data!$V$66*($A387/1000)^6+Data!$V$67*($A387/1000)^7)))</f>
        <v>0.72258792489841672</v>
      </c>
    </row>
    <row r="388" spans="1:3" x14ac:dyDescent="0.3">
      <c r="A388">
        <f>21.421295*(29979200000/1000000000)</f>
        <v>642.19328706399995</v>
      </c>
      <c r="B388">
        <v>9.0799999999999995E-3</v>
      </c>
      <c r="C388">
        <f>(-1*B388+1/EXP((Data!$K$58*2.54)*(Data!$V$60+Data!$V$61*($A388/1000)+Data!$V$62*($A388/1000)^2+Data!$V$63*($A388/1000)^3+Data!$V$64*($A388/1000)^4+Data!$V$65*($A388/1000)^5+Data!$V$66*($A388/1000)^6+Data!$V$67*($A388/1000)^7)))</f>
        <v>0.7218821337639566</v>
      </c>
    </row>
    <row r="389" spans="1:3" x14ac:dyDescent="0.3">
      <c r="A389">
        <f>21.471698*(29979200000/1000000000)</f>
        <v>643.70432868160003</v>
      </c>
      <c r="B389">
        <v>8.6300000000000005E-3</v>
      </c>
      <c r="C389">
        <f>(-1*B389+1/EXP((Data!$K$58*2.54)*(Data!$V$60+Data!$V$61*($A389/1000)+Data!$V$62*($A389/1000)^2+Data!$V$63*($A389/1000)^3+Data!$V$64*($A389/1000)^4+Data!$V$65*($A389/1000)^5+Data!$V$66*($A389/1000)^6+Data!$V$67*($A389/1000)^7)))</f>
        <v>0.72203770081497787</v>
      </c>
    </row>
    <row r="390" spans="1:3" x14ac:dyDescent="0.3">
      <c r="A390">
        <f>21.522101*(29979200000/1000000000)</f>
        <v>645.2153702992</v>
      </c>
      <c r="B390">
        <v>8.3099999999999997E-3</v>
      </c>
      <c r="C390">
        <f>(-1*B390+1/EXP((Data!$K$58*2.54)*(Data!$V$60+Data!$V$61*($A390/1000)+Data!$V$62*($A390/1000)^2+Data!$V$63*($A390/1000)^3+Data!$V$64*($A390/1000)^4+Data!$V$65*($A390/1000)^5+Data!$V$66*($A390/1000)^6+Data!$V$67*($A390/1000)^7)))</f>
        <v>0.72206462072923128</v>
      </c>
    </row>
    <row r="391" spans="1:3" x14ac:dyDescent="0.3">
      <c r="A391">
        <f>21.572504*(29979200000/1000000000)</f>
        <v>646.72641191680009</v>
      </c>
      <c r="B391">
        <v>8.4200000000000004E-3</v>
      </c>
      <c r="C391">
        <f>(-1*B391+1/EXP((Data!$K$58*2.54)*(Data!$V$60+Data!$V$61*($A391/1000)+Data!$V$62*($A391/1000)^2+Data!$V$63*($A391/1000)^3+Data!$V$64*($A391/1000)^4+Data!$V$65*($A391/1000)^5+Data!$V$66*($A391/1000)^6+Data!$V$67*($A391/1000)^7)))</f>
        <v>0.72166288819088842</v>
      </c>
    </row>
    <row r="392" spans="1:3" x14ac:dyDescent="0.3">
      <c r="A392">
        <f>21.622907*(29979200000/1000000000)</f>
        <v>648.23745353440006</v>
      </c>
      <c r="B392">
        <v>8.4100000000000008E-3</v>
      </c>
      <c r="C392">
        <f>(-1*B392+1/EXP((Data!$K$58*2.54)*(Data!$V$60+Data!$V$61*($A392/1000)+Data!$V$62*($A392/1000)^2+Data!$V$63*($A392/1000)^3+Data!$V$64*($A392/1000)^4+Data!$V$65*($A392/1000)^5+Data!$V$66*($A392/1000)^6+Data!$V$67*($A392/1000)^7)))</f>
        <v>0.721382497890522</v>
      </c>
    </row>
    <row r="393" spans="1:3" x14ac:dyDescent="0.3">
      <c r="A393">
        <f>21.67331*(29979200000/1000000000)</f>
        <v>649.74849515200003</v>
      </c>
      <c r="B393">
        <v>8.5500000000000003E-3</v>
      </c>
      <c r="C393">
        <f>(-1*B393+1/EXP((Data!$K$58*2.54)*(Data!$V$60+Data!$V$61*($A393/1000)+Data!$V$62*($A393/1000)^2+Data!$V$63*($A393/1000)^3+Data!$V$64*($A393/1000)^4+Data!$V$65*($A393/1000)^5+Data!$V$66*($A393/1000)^6+Data!$V$67*($A393/1000)^7)))</f>
        <v>0.72095344452508658</v>
      </c>
    </row>
    <row r="394" spans="1:3" x14ac:dyDescent="0.3">
      <c r="A394">
        <f>21.723713*(29979200000/1000000000)</f>
        <v>651.25953676960012</v>
      </c>
      <c r="B394">
        <v>9.1500000000000001E-3</v>
      </c>
      <c r="C394">
        <f>(-1*B394+1/EXP((Data!$K$58*2.54)*(Data!$V$60+Data!$V$61*($A394/1000)+Data!$V$62*($A394/1000)^2+Data!$V$63*($A394/1000)^3+Data!$V$64*($A394/1000)^4+Data!$V$65*($A394/1000)^5+Data!$V$66*($A394/1000)^6+Data!$V$67*($A394/1000)^7)))</f>
        <v>0.72006572279789793</v>
      </c>
    </row>
    <row r="395" spans="1:3" x14ac:dyDescent="0.3">
      <c r="A395">
        <f>21.774116*(29979200000/1000000000)</f>
        <v>652.77057838720009</v>
      </c>
      <c r="B395">
        <v>9.8200000000000006E-3</v>
      </c>
      <c r="C395">
        <f>(-1*B395+1/EXP((Data!$K$58*2.54)*(Data!$V$60+Data!$V$61*($A395/1000)+Data!$V$62*($A395/1000)^2+Data!$V$63*($A395/1000)^3+Data!$V$64*($A395/1000)^4+Data!$V$65*($A395/1000)^5+Data!$V$66*($A395/1000)^6+Data!$V$67*($A395/1000)^7)))</f>
        <v>0.71910932741861633</v>
      </c>
    </row>
    <row r="396" spans="1:3" x14ac:dyDescent="0.3">
      <c r="A396">
        <f>21.824519*(29979200000/1000000000)</f>
        <v>654.28162000480006</v>
      </c>
      <c r="B396">
        <v>1.042E-2</v>
      </c>
      <c r="C396">
        <f>(-1*B396+1/EXP((Data!$K$58*2.54)*(Data!$V$60+Data!$V$61*($A396/1000)+Data!$V$62*($A396/1000)^2+Data!$V$63*($A396/1000)^3+Data!$V$64*($A396/1000)^4+Data!$V$65*($A396/1000)^5+Data!$V$66*($A396/1000)^6+Data!$V$67*($A396/1000)^7)))</f>
        <v>0.71822425310322568</v>
      </c>
    </row>
    <row r="397" spans="1:3" x14ac:dyDescent="0.3">
      <c r="A397">
        <f>21.874922*(29979200000/1000000000)</f>
        <v>655.79266162240003</v>
      </c>
      <c r="B397">
        <v>1.123E-2</v>
      </c>
      <c r="C397">
        <f>(-1*B397+1/EXP((Data!$K$58*2.54)*(Data!$V$60+Data!$V$61*($A397/1000)+Data!$V$62*($A397/1000)^2+Data!$V$63*($A397/1000)^3+Data!$V$64*($A397/1000)^4+Data!$V$65*($A397/1000)^5+Data!$V$66*($A397/1000)^6+Data!$V$67*($A397/1000)^7)))</f>
        <v>0.71713049457401623</v>
      </c>
    </row>
    <row r="398" spans="1:3" x14ac:dyDescent="0.3">
      <c r="A398">
        <f>21.925325*(29979200000/1000000000)</f>
        <v>657.30370324</v>
      </c>
      <c r="B398">
        <v>1.1809999999999999E-2</v>
      </c>
      <c r="C398">
        <f>(-1*B398+1/EXP((Data!$K$58*2.54)*(Data!$V$60+Data!$V$61*($A398/1000)+Data!$V$62*($A398/1000)^2+Data!$V$63*($A398/1000)^3+Data!$V$64*($A398/1000)^4+Data!$V$65*($A398/1000)^5+Data!$V$66*($A398/1000)^6+Data!$V$67*($A398/1000)^7)))</f>
        <v>0.71626804655956589</v>
      </c>
    </row>
    <row r="399" spans="1:3" x14ac:dyDescent="0.3">
      <c r="A399">
        <f>21.975728*(29979200000/1000000000)</f>
        <v>658.81474485760009</v>
      </c>
      <c r="B399">
        <v>1.225E-2</v>
      </c>
      <c r="C399">
        <f>(-1*B399+1/EXP((Data!$K$58*2.54)*(Data!$V$60+Data!$V$61*($A399/1000)+Data!$V$62*($A399/1000)^2+Data!$V$63*($A399/1000)^3+Data!$V$64*($A399/1000)^4+Data!$V$65*($A399/1000)^5+Data!$V$66*($A399/1000)^6+Data!$V$67*($A399/1000)^7)))</f>
        <v>0.71554690379472263</v>
      </c>
    </row>
    <row r="400" spans="1:3" x14ac:dyDescent="0.3">
      <c r="A400">
        <f>22.026131*(29979200000/1000000000)</f>
        <v>660.32578647520006</v>
      </c>
      <c r="B400">
        <v>1.2239999999999999E-2</v>
      </c>
      <c r="C400">
        <f>(-1*B400+1/EXP((Data!$K$58*2.54)*(Data!$V$60+Data!$V$61*($A400/1000)+Data!$V$62*($A400/1000)^2+Data!$V$63*($A400/1000)^3+Data!$V$64*($A400/1000)^4+Data!$V$65*($A400/1000)^5+Data!$V$66*($A400/1000)^6+Data!$V$67*($A400/1000)^7)))</f>
        <v>0.71527706102058652</v>
      </c>
    </row>
    <row r="401" spans="1:3" x14ac:dyDescent="0.3">
      <c r="A401">
        <f>22.076534*(29979200000/1000000000)</f>
        <v>661.83682809280003</v>
      </c>
      <c r="B401">
        <v>1.123E-2</v>
      </c>
      <c r="C401">
        <f>(-1*B401+1/EXP((Data!$K$58*2.54)*(Data!$V$60+Data!$V$61*($A401/1000)+Data!$V$62*($A401/1000)^2+Data!$V$63*($A401/1000)^3+Data!$V$64*($A401/1000)^4+Data!$V$65*($A401/1000)^5+Data!$V$66*($A401/1000)^6+Data!$V$67*($A401/1000)^7)))</f>
        <v>0.71600851298449297</v>
      </c>
    </row>
    <row r="402" spans="1:3" x14ac:dyDescent="0.3">
      <c r="A402">
        <f>22.126937*(29979200000/1000000000)</f>
        <v>663.3478697104</v>
      </c>
      <c r="B402">
        <v>9.6399999999999993E-3</v>
      </c>
      <c r="C402">
        <f>(-1*B402+1/EXP((Data!$K$58*2.54)*(Data!$V$60+Data!$V$61*($A402/1000)+Data!$V$62*($A402/1000)^2+Data!$V$63*($A402/1000)^3+Data!$V$64*($A402/1000)^4+Data!$V$65*($A402/1000)^5+Data!$V$66*($A402/1000)^6+Data!$V$67*($A402/1000)^7)))</f>
        <v>0.71732125443999506</v>
      </c>
    </row>
    <row r="403" spans="1:3" x14ac:dyDescent="0.3">
      <c r="A403">
        <f>22.17734*(29979200000/1000000000)</f>
        <v>664.85891132799998</v>
      </c>
      <c r="B403">
        <v>7.9100000000000004E-3</v>
      </c>
      <c r="C403">
        <f>(-1*B403+1/EXP((Data!$K$58*2.54)*(Data!$V$60+Data!$V$61*($A403/1000)+Data!$V$62*($A403/1000)^2+Data!$V$63*($A403/1000)^3+Data!$V$64*($A403/1000)^4+Data!$V$65*($A403/1000)^5+Data!$V$66*($A403/1000)^6+Data!$V$67*($A403/1000)^7)))</f>
        <v>0.71877528014684677</v>
      </c>
    </row>
    <row r="404" spans="1:3" x14ac:dyDescent="0.3">
      <c r="A404">
        <f>22.227743*(29979200000/1000000000)</f>
        <v>666.36995294560006</v>
      </c>
      <c r="B404">
        <v>6.4599999999999996E-3</v>
      </c>
      <c r="C404">
        <f>(-1*B404+1/EXP((Data!$K$58*2.54)*(Data!$V$60+Data!$V$61*($A404/1000)+Data!$V$62*($A404/1000)^2+Data!$V$63*($A404/1000)^3+Data!$V$64*($A404/1000)^4+Data!$V$65*($A404/1000)^5+Data!$V$66*($A404/1000)^6+Data!$V$67*($A404/1000)^7)))</f>
        <v>0.71995058487098662</v>
      </c>
    </row>
    <row r="405" spans="1:3" x14ac:dyDescent="0.3">
      <c r="A405">
        <f>22.278146*(29979200000/1000000000)</f>
        <v>667.88099456320003</v>
      </c>
      <c r="B405">
        <v>5.5399999999999998E-3</v>
      </c>
      <c r="C405">
        <f>(-1*B405+1/EXP((Data!$K$58*2.54)*(Data!$V$60+Data!$V$61*($A405/1000)+Data!$V$62*($A405/1000)^2+Data!$V$63*($A405/1000)^3+Data!$V$64*($A405/1000)^4+Data!$V$65*($A405/1000)^5+Data!$V$66*($A405/1000)^6+Data!$V$67*($A405/1000)^7)))</f>
        <v>0.72059716338452162</v>
      </c>
    </row>
    <row r="406" spans="1:3" x14ac:dyDescent="0.3">
      <c r="A406">
        <f>22.328549*(29979200000/1000000000)</f>
        <v>669.39203618080001</v>
      </c>
      <c r="B406">
        <v>4.9399999999999999E-3</v>
      </c>
      <c r="C406">
        <f>(-1*B406+1/EXP((Data!$K$58*2.54)*(Data!$V$60+Data!$V$61*($A406/1000)+Data!$V$62*($A406/1000)^2+Data!$V$63*($A406/1000)^3+Data!$V$64*($A406/1000)^4+Data!$V$65*($A406/1000)^5+Data!$V$66*($A406/1000)^6+Data!$V$67*($A406/1000)^7)))</f>
        <v>0.720925010465711</v>
      </c>
    </row>
    <row r="407" spans="1:3" x14ac:dyDescent="0.3">
      <c r="A407">
        <f>22.378952*(29979200000/1000000000)</f>
        <v>670.90307779839998</v>
      </c>
      <c r="B407">
        <v>4.4400000000000004E-3</v>
      </c>
      <c r="C407">
        <f>(-1*B407+1/EXP((Data!$K$58*2.54)*(Data!$V$60+Data!$V$61*($A407/1000)+Data!$V$62*($A407/1000)^2+Data!$V$63*($A407/1000)^3+Data!$V$64*($A407/1000)^4+Data!$V$65*($A407/1000)^5+Data!$V$66*($A407/1000)^6+Data!$V$67*($A407/1000)^7)))</f>
        <v>0.72115412089895059</v>
      </c>
    </row>
    <row r="408" spans="1:3" x14ac:dyDescent="0.3">
      <c r="A408">
        <f>22.429355*(29979200000/1000000000)</f>
        <v>672.41411941599995</v>
      </c>
      <c r="B408">
        <v>4.2599999999999999E-3</v>
      </c>
      <c r="C408">
        <f>(-1*B408+1/EXP((Data!$K$58*2.54)*(Data!$V$60+Data!$V$61*($A408/1000)+Data!$V$62*($A408/1000)^2+Data!$V$63*($A408/1000)^3+Data!$V$64*($A408/1000)^4+Data!$V$65*($A408/1000)^5+Data!$V$66*($A408/1000)^6+Data!$V$67*($A408/1000)^7)))</f>
        <v>0.72106448947475721</v>
      </c>
    </row>
    <row r="409" spans="1:3" x14ac:dyDescent="0.3">
      <c r="A409">
        <f>22.479758*(29979200000/1000000000)</f>
        <v>673.92516103360003</v>
      </c>
      <c r="B409">
        <v>4.4000000000000003E-3</v>
      </c>
      <c r="C409">
        <f>(-1*B409+1/EXP((Data!$K$58*2.54)*(Data!$V$60+Data!$V$61*($A409/1000)+Data!$V$62*($A409/1000)^2+Data!$V$63*($A409/1000)^3+Data!$V$64*($A409/1000)^4+Data!$V$65*($A409/1000)^5+Data!$V$66*($A409/1000)^6+Data!$V$67*($A409/1000)^7)))</f>
        <v>0.72065611098975424</v>
      </c>
    </row>
    <row r="410" spans="1:3" x14ac:dyDescent="0.3">
      <c r="A410">
        <f>22.530161*(29979200000/1000000000)</f>
        <v>675.43620265120012</v>
      </c>
      <c r="B410">
        <v>4.4400000000000004E-3</v>
      </c>
      <c r="C410">
        <f>(-1*B410+1/EXP((Data!$K$58*2.54)*(Data!$V$60+Data!$V$61*($A410/1000)+Data!$V$62*($A410/1000)^2+Data!$V$63*($A410/1000)^3+Data!$V$64*($A410/1000)^4+Data!$V$65*($A410/1000)^5+Data!$V$66*($A410/1000)^6+Data!$V$67*($A410/1000)^7)))</f>
        <v>0.7203489802466555</v>
      </c>
    </row>
    <row r="411" spans="1:3" x14ac:dyDescent="0.3">
      <c r="A411">
        <f>22.580564*(29979200000/1000000000)</f>
        <v>676.94724426880009</v>
      </c>
      <c r="B411">
        <v>4.13E-3</v>
      </c>
      <c r="C411">
        <f>(-1*B411+1/EXP((Data!$K$58*2.54)*(Data!$V$60+Data!$V$61*($A411/1000)+Data!$V$62*($A411/1000)^2+Data!$V$63*($A411/1000)^3+Data!$V$64*($A411/1000)^4+Data!$V$65*($A411/1000)^5+Data!$V$66*($A411/1000)^6+Data!$V$67*($A411/1000)^7)))</f>
        <v>0.72039309205425217</v>
      </c>
    </row>
    <row r="412" spans="1:3" x14ac:dyDescent="0.3">
      <c r="A412">
        <f>22.630967*(29979200000/1000000000)</f>
        <v>678.45828588640006</v>
      </c>
      <c r="B412">
        <v>3.6700000000000001E-3</v>
      </c>
      <c r="C412">
        <f>(-1*B412+1/EXP((Data!$K$58*2.54)*(Data!$V$60+Data!$V$61*($A412/1000)+Data!$V$62*($A412/1000)^2+Data!$V$63*($A412/1000)^3+Data!$V$64*($A412/1000)^4+Data!$V$65*($A412/1000)^5+Data!$V$66*($A412/1000)^6+Data!$V$67*($A412/1000)^7)))</f>
        <v>0.72058844122739707</v>
      </c>
    </row>
    <row r="413" spans="1:3" x14ac:dyDescent="0.3">
      <c r="A413">
        <f>22.68137*(29979200000/1000000000)</f>
        <v>679.96932750400003</v>
      </c>
      <c r="B413">
        <v>3.3400000000000001E-3</v>
      </c>
      <c r="C413">
        <f>(-1*B413+1/EXP((Data!$K$58*2.54)*(Data!$V$60+Data!$V$61*($A413/1000)+Data!$V$62*($A413/1000)^2+Data!$V$63*($A413/1000)^3+Data!$V$64*($A413/1000)^4+Data!$V$65*($A413/1000)^5+Data!$V$66*($A413/1000)^6+Data!$V$67*($A413/1000)^7)))</f>
        <v>0.72065502258699166</v>
      </c>
    </row>
    <row r="414" spans="1:3" x14ac:dyDescent="0.3">
      <c r="A414">
        <f>22.731773*(29979200000/1000000000)</f>
        <v>681.48036912160012</v>
      </c>
      <c r="B414">
        <v>2.96E-3</v>
      </c>
      <c r="C414">
        <f>(-1*B414+1/EXP((Data!$K$58*2.54)*(Data!$V$60+Data!$V$61*($A414/1000)+Data!$V$62*($A414/1000)^2+Data!$V$63*($A414/1000)^3+Data!$V$64*($A414/1000)^4+Data!$V$65*($A414/1000)^5+Data!$V$66*($A414/1000)^6+Data!$V$67*($A414/1000)^7)))</f>
        <v>0.72077283095997169</v>
      </c>
    </row>
    <row r="415" spans="1:3" x14ac:dyDescent="0.3">
      <c r="A415">
        <f>22.782176*(29979200000/1000000000)</f>
        <v>682.99141073920009</v>
      </c>
      <c r="B415">
        <v>2.6800000000000001E-3</v>
      </c>
      <c r="C415">
        <f>(-1*B415+1/EXP((Data!$K$58*2.54)*(Data!$V$60+Data!$V$61*($A415/1000)+Data!$V$62*($A415/1000)^2+Data!$V$63*($A415/1000)^3+Data!$V$64*($A415/1000)^4+Data!$V$65*($A415/1000)^5+Data!$V$66*($A415/1000)^6+Data!$V$67*($A415/1000)^7)))</f>
        <v>0.72079186117929406</v>
      </c>
    </row>
    <row r="416" spans="1:3" x14ac:dyDescent="0.3">
      <c r="A416">
        <f>22.832579*(29979200000/1000000000)</f>
        <v>684.50245235680006</v>
      </c>
      <c r="B416">
        <v>2.6800000000000001E-3</v>
      </c>
      <c r="C416">
        <f>(-1*B416+1/EXP((Data!$K$58*2.54)*(Data!$V$60+Data!$V$61*($A416/1000)+Data!$V$62*($A416/1000)^2+Data!$V$63*($A416/1000)^3+Data!$V$64*($A416/1000)^4+Data!$V$65*($A416/1000)^5+Data!$V$66*($A416/1000)^6+Data!$V$67*($A416/1000)^7)))</f>
        <v>0.72053210808392343</v>
      </c>
    </row>
    <row r="417" spans="1:3" x14ac:dyDescent="0.3">
      <c r="A417">
        <f>22.882982*(29979200000/1000000000)</f>
        <v>686.01349397440003</v>
      </c>
      <c r="B417">
        <v>2.6199999999999999E-3</v>
      </c>
      <c r="C417">
        <f>(-1*B417+1/EXP((Data!$K$58*2.54)*(Data!$V$60+Data!$V$61*($A417/1000)+Data!$V$62*($A417/1000)^2+Data!$V$63*($A417/1000)^3+Data!$V$64*($A417/1000)^4+Data!$V$65*($A417/1000)^5+Data!$V$66*($A417/1000)^6+Data!$V$67*($A417/1000)^7)))</f>
        <v>0.72033356651881941</v>
      </c>
    </row>
    <row r="418" spans="1:3" x14ac:dyDescent="0.3">
      <c r="A418">
        <f>22.933385*(29979200000/1000000000)</f>
        <v>687.52453559200001</v>
      </c>
      <c r="B418">
        <v>2.3700000000000001E-3</v>
      </c>
      <c r="C418">
        <f>(-1*B418+1/EXP((Data!$K$58*2.54)*(Data!$V$60+Data!$V$61*($A418/1000)+Data!$V$62*($A418/1000)^2+Data!$V$63*($A418/1000)^3+Data!$V$64*($A418/1000)^4+Data!$V$65*($A418/1000)^5+Data!$V$66*($A418/1000)^6+Data!$V$67*($A418/1000)^7)))</f>
        <v>0.72032623133492368</v>
      </c>
    </row>
    <row r="419" spans="1:3" x14ac:dyDescent="0.3">
      <c r="A419">
        <f>22.983788*(29979200000/1000000000)</f>
        <v>689.03557720960009</v>
      </c>
      <c r="B419">
        <v>2.1700000000000001E-3</v>
      </c>
      <c r="C419">
        <f>(-1*B419+1/EXP((Data!$K$58*2.54)*(Data!$V$60+Data!$V$61*($A419/1000)+Data!$V$62*($A419/1000)^2+Data!$V$63*($A419/1000)^3+Data!$V$64*($A419/1000)^4+Data!$V$65*($A419/1000)^5+Data!$V$66*($A419/1000)^6+Data!$V$67*($A419/1000)^7)))</f>
        <v>0.72027009738914816</v>
      </c>
    </row>
    <row r="420" spans="1:3" x14ac:dyDescent="0.3">
      <c r="A420">
        <f>23.034191*(29979200000/1000000000)</f>
        <v>690.54661882720006</v>
      </c>
      <c r="B420">
        <v>2E-3</v>
      </c>
      <c r="C420">
        <f>(-1*B420+1/EXP((Data!$K$58*2.54)*(Data!$V$60+Data!$V$61*($A420/1000)+Data!$V$62*($A420/1000)^2+Data!$V$63*($A420/1000)^3+Data!$V$64*($A420/1000)^4+Data!$V$65*($A420/1000)^5+Data!$V$66*($A420/1000)^6+Data!$V$67*($A420/1000)^7)))</f>
        <v>0.72018515954436224</v>
      </c>
    </row>
    <row r="421" spans="1:3" x14ac:dyDescent="0.3">
      <c r="A421">
        <f>23.084594*(29979200000/1000000000)</f>
        <v>692.05766044480004</v>
      </c>
      <c r="B421">
        <v>1.7799999999999999E-3</v>
      </c>
      <c r="C421">
        <f>(-1*B421+1/EXP((Data!$K$58*2.54)*(Data!$V$60+Data!$V$61*($A421/1000)+Data!$V$62*($A421/1000)^2+Data!$V$63*($A421/1000)^3+Data!$V$64*($A421/1000)^4+Data!$V$65*($A421/1000)^5+Data!$V$66*($A421/1000)^6+Data!$V$67*($A421/1000)^7)))</f>
        <v>0.72015141266938187</v>
      </c>
    </row>
    <row r="422" spans="1:3" x14ac:dyDescent="0.3">
      <c r="A422">
        <f>23.134997*(29979200000/1000000000)</f>
        <v>693.56870206240001</v>
      </c>
      <c r="B422">
        <v>1.6999999999999999E-3</v>
      </c>
      <c r="C422">
        <f>(-1*B422+1/EXP((Data!$K$58*2.54)*(Data!$V$60+Data!$V$61*($A422/1000)+Data!$V$62*($A422/1000)^2+Data!$V$63*($A422/1000)^3+Data!$V$64*($A422/1000)^4+Data!$V$65*($A422/1000)^5+Data!$V$66*($A422/1000)^6+Data!$V$67*($A422/1000)^7)))</f>
        <v>0.7199788516389567</v>
      </c>
    </row>
    <row r="423" spans="1:3" x14ac:dyDescent="0.3">
      <c r="A423">
        <f>23.1854*(29979200000/1000000000)</f>
        <v>695.07974367999998</v>
      </c>
      <c r="B423">
        <v>1.5200000000000001E-3</v>
      </c>
      <c r="C423">
        <f>(-1*B423+1/EXP((Data!$K$58*2.54)*(Data!$V$60+Data!$V$61*($A423/1000)+Data!$V$62*($A423/1000)^2+Data!$V$63*($A423/1000)^3+Data!$V$64*($A423/1000)^4+Data!$V$65*($A423/1000)^5+Data!$V$66*($A423/1000)^6+Data!$V$67*($A423/1000)^7)))</f>
        <v>0.71990747133376043</v>
      </c>
    </row>
    <row r="424" spans="1:3" x14ac:dyDescent="0.3">
      <c r="A424">
        <f>23.235803*(29979200000/1000000000)</f>
        <v>696.59078529760006</v>
      </c>
      <c r="B424">
        <v>1.2899999999999999E-3</v>
      </c>
      <c r="C424">
        <f>(-1*B424+1/EXP((Data!$K$58*2.54)*(Data!$V$60+Data!$V$61*($A424/1000)+Data!$V$62*($A424/1000)^2+Data!$V$63*($A424/1000)^3+Data!$V$64*($A424/1000)^4+Data!$V$65*($A424/1000)^5+Data!$V$66*($A424/1000)^6+Data!$V$67*($A424/1000)^7)))</f>
        <v>0.7198872666403785</v>
      </c>
    </row>
    <row r="425" spans="1:3" x14ac:dyDescent="0.3">
      <c r="A425">
        <f>23.286206*(29979200000/1000000000)</f>
        <v>698.10182691520004</v>
      </c>
      <c r="B425">
        <v>1.2099999999999999E-3</v>
      </c>
      <c r="C425">
        <f>(-1*B425+1/EXP((Data!$K$58*2.54)*(Data!$V$60+Data!$V$61*($A425/1000)+Data!$V$62*($A425/1000)^2+Data!$V$63*($A425/1000)^3+Data!$V$64*($A425/1000)^4+Data!$V$65*($A425/1000)^5+Data!$V$66*($A425/1000)^6+Data!$V$67*($A425/1000)^7)))</f>
        <v>0.7197182324512984</v>
      </c>
    </row>
    <row r="426" spans="1:3" x14ac:dyDescent="0.3">
      <c r="A426">
        <f>23.336609*(29979200000/1000000000)</f>
        <v>699.61286853280001</v>
      </c>
      <c r="B426">
        <v>1.1800000000000001E-3</v>
      </c>
      <c r="C426">
        <f>(-1*B426+1/EXP((Data!$K$58*2.54)*(Data!$V$60+Data!$V$61*($A426/1000)+Data!$V$62*($A426/1000)^2+Data!$V$63*($A426/1000)^3+Data!$V$64*($A426/1000)^4+Data!$V$65*($A426/1000)^5+Data!$V$66*($A426/1000)^6+Data!$V$67*($A426/1000)^7)))</f>
        <v>0.71950036366489878</v>
      </c>
    </row>
    <row r="427" spans="1:3" x14ac:dyDescent="0.3">
      <c r="A427">
        <f>23.387012*(29979200000/1000000000)</f>
        <v>701.12391015039998</v>
      </c>
      <c r="B427">
        <v>9.8999999999999999E-4</v>
      </c>
      <c r="C427">
        <f>(-1*B427+1/EXP((Data!$K$58*2.54)*(Data!$V$60+Data!$V$61*($A427/1000)+Data!$V$62*($A427/1000)^2+Data!$V$63*($A427/1000)^3+Data!$V$64*($A427/1000)^4+Data!$V$65*($A427/1000)^5+Data!$V$66*($A427/1000)^6+Data!$V$67*($A427/1000)^7)))</f>
        <v>0.71944365518543885</v>
      </c>
    </row>
    <row r="428" spans="1:3" x14ac:dyDescent="0.3">
      <c r="A428">
        <f>23.437415*(29979200000/1000000000)</f>
        <v>702.63495176800006</v>
      </c>
      <c r="B428">
        <v>8.3000000000000001E-4</v>
      </c>
      <c r="C428">
        <f>(-1*B428+1/EXP((Data!$K$58*2.54)*(Data!$V$60+Data!$V$61*($A428/1000)+Data!$V$62*($A428/1000)^2+Data!$V$63*($A428/1000)^3+Data!$V$64*($A428/1000)^4+Data!$V$65*($A428/1000)^5+Data!$V$66*($A428/1000)^6+Data!$V$67*($A428/1000)^7)))</f>
        <v>0.71935810192305005</v>
      </c>
    </row>
    <row r="429" spans="1:3" x14ac:dyDescent="0.3">
      <c r="A429">
        <f>23.487818*(29979200000/1000000000)</f>
        <v>704.14599338560004</v>
      </c>
      <c r="B429">
        <v>8.3000000000000001E-4</v>
      </c>
      <c r="C429">
        <f>(-1*B429+1/EXP((Data!$K$58*2.54)*(Data!$V$60+Data!$V$61*($A429/1000)+Data!$V$62*($A429/1000)^2+Data!$V$63*($A429/1000)^3+Data!$V$64*($A429/1000)^4+Data!$V$65*($A429/1000)^5+Data!$V$66*($A429/1000)^6+Data!$V$67*($A429/1000)^7)))</f>
        <v>0.71911369879372478</v>
      </c>
    </row>
    <row r="430" spans="1:3" x14ac:dyDescent="0.3">
      <c r="A430">
        <f>23.538221*(29979200000/1000000000)</f>
        <v>705.65703500320012</v>
      </c>
      <c r="B430">
        <v>8.3000000000000001E-4</v>
      </c>
      <c r="C430">
        <f>(-1*B430+1/EXP((Data!$K$58*2.54)*(Data!$V$60+Data!$V$61*($A430/1000)+Data!$V$62*($A430/1000)^2+Data!$V$63*($A430/1000)^3+Data!$V$64*($A430/1000)^4+Data!$V$65*($A430/1000)^5+Data!$V$66*($A430/1000)^6+Data!$V$67*($A430/1000)^7)))</f>
        <v>0.71887044071930795</v>
      </c>
    </row>
    <row r="431" spans="1:3" x14ac:dyDescent="0.3">
      <c r="A431">
        <f>23.588624*(29979200000/1000000000)</f>
        <v>707.16807662080009</v>
      </c>
      <c r="B431">
        <v>6.8999999999999997E-4</v>
      </c>
      <c r="C431">
        <f>(-1*B431+1/EXP((Data!$K$58*2.54)*(Data!$V$60+Data!$V$61*($A431/1000)+Data!$V$62*($A431/1000)^2+Data!$V$63*($A431/1000)^3+Data!$V$64*($A431/1000)^4+Data!$V$65*($A431/1000)^5+Data!$V$66*($A431/1000)^6+Data!$V$67*($A431/1000)^7)))</f>
        <v>0.71876832262748847</v>
      </c>
    </row>
    <row r="432" spans="1:3" x14ac:dyDescent="0.3">
      <c r="A432">
        <f>23.639027*(29979200000/1000000000)</f>
        <v>708.67911823840006</v>
      </c>
      <c r="B432">
        <v>6.4999999999999997E-4</v>
      </c>
      <c r="C432">
        <f>(-1*B432+1/EXP((Data!$K$58*2.54)*(Data!$V$60+Data!$V$61*($A432/1000)+Data!$V$62*($A432/1000)^2+Data!$V$63*($A432/1000)^3+Data!$V$64*($A432/1000)^4+Data!$V$65*($A432/1000)^5+Data!$V$66*($A432/1000)^6+Data!$V$67*($A432/1000)^7)))</f>
        <v>0.71856733945178952</v>
      </c>
    </row>
    <row r="433" spans="1:3" x14ac:dyDescent="0.3">
      <c r="A433">
        <f>23.68943*(29979200000/1000000000)</f>
        <v>710.19015985600004</v>
      </c>
      <c r="B433">
        <v>6.6E-4</v>
      </c>
      <c r="C433">
        <f>(-1*B433+1/EXP((Data!$K$58*2.54)*(Data!$V$60+Data!$V$61*($A433/1000)+Data!$V$62*($A433/1000)^2+Data!$V$63*($A433/1000)^3+Data!$V$64*($A433/1000)^4+Data!$V$65*($A433/1000)^5+Data!$V$66*($A433/1000)^6+Data!$V$67*($A433/1000)^7)))</f>
        <v>0.71831748613156066</v>
      </c>
    </row>
    <row r="434" spans="1:3" x14ac:dyDescent="0.3">
      <c r="A434">
        <f>23.739833*(29979200000/1000000000)</f>
        <v>711.70120147360001</v>
      </c>
      <c r="B434">
        <v>6.3000000000000003E-4</v>
      </c>
      <c r="C434">
        <f>(-1*B434+1/EXP((Data!$K$58*2.54)*(Data!$V$60+Data!$V$61*($A434/1000)+Data!$V$62*($A434/1000)^2+Data!$V$63*($A434/1000)^3+Data!$V$64*($A434/1000)^4+Data!$V$65*($A434/1000)^5+Data!$V$66*($A434/1000)^6+Data!$V$67*($A434/1000)^7)))</f>
        <v>0.71810875761196935</v>
      </c>
    </row>
    <row r="435" spans="1:3" x14ac:dyDescent="0.3">
      <c r="A435">
        <f>23.790236*(29979200000/1000000000)</f>
        <v>713.21224309120009</v>
      </c>
      <c r="B435">
        <v>6.6E-4</v>
      </c>
      <c r="C435">
        <f>(-1*B435+1/EXP((Data!$K$58*2.54)*(Data!$V$60+Data!$V$61*($A435/1000)+Data!$V$62*($A435/1000)^2+Data!$V$63*($A435/1000)^3+Data!$V$64*($A435/1000)^4+Data!$V$65*($A435/1000)^5+Data!$V$66*($A435/1000)^6+Data!$V$67*($A435/1000)^7)))</f>
        <v>0.71784114884399408</v>
      </c>
    </row>
    <row r="436" spans="1:3" x14ac:dyDescent="0.3">
      <c r="A436">
        <f>23.840639*(29979200000/1000000000)</f>
        <v>714.72328470880007</v>
      </c>
      <c r="B436">
        <v>6.0999999999999997E-4</v>
      </c>
      <c r="C436">
        <f>(-1*B436+1/EXP((Data!$K$58*2.54)*(Data!$V$60+Data!$V$61*($A436/1000)+Data!$V$62*($A436/1000)^2+Data!$V$63*($A436/1000)^3+Data!$V$64*($A436/1000)^4+Data!$V$65*($A436/1000)^5+Data!$V$66*($A436/1000)^6+Data!$V$67*($A436/1000)^7)))</f>
        <v>0.71765465478441515</v>
      </c>
    </row>
    <row r="437" spans="1:3" x14ac:dyDescent="0.3">
      <c r="A437">
        <f>23.891042*(29979200000/1000000000)</f>
        <v>716.23432632640004</v>
      </c>
      <c r="B437">
        <v>7.6999999999999996E-4</v>
      </c>
      <c r="C437">
        <f>(-1*B437+1/EXP((Data!$K$58*2.54)*(Data!$V$60+Data!$V$61*($A437/1000)+Data!$V$62*($A437/1000)^2+Data!$V$63*($A437/1000)^3+Data!$V$64*($A437/1000)^4+Data!$V$65*($A437/1000)^5+Data!$V$66*($A437/1000)^6+Data!$V$67*($A437/1000)^7)))</f>
        <v>0.71725927039580895</v>
      </c>
    </row>
    <row r="438" spans="1:3" x14ac:dyDescent="0.3">
      <c r="A438">
        <f>23.941445*(29979200000/1000000000)</f>
        <v>717.74536794400001</v>
      </c>
      <c r="B438">
        <v>8.1999999999999998E-4</v>
      </c>
      <c r="C438">
        <f>(-1*B438+1/EXP((Data!$K$58*2.54)*(Data!$V$60+Data!$V$61*($A438/1000)+Data!$V$62*($A438/1000)^2+Data!$V$63*($A438/1000)^3+Data!$V$64*($A438/1000)^4+Data!$V$65*($A438/1000)^5+Data!$V$66*($A438/1000)^6+Data!$V$67*($A438/1000)^7)))</f>
        <v>0.71697499064654002</v>
      </c>
    </row>
    <row r="439" spans="1:3" x14ac:dyDescent="0.3">
      <c r="A439">
        <f>23.991848*(29979200000/1000000000)</f>
        <v>719.25640956159998</v>
      </c>
      <c r="B439">
        <v>6.3000000000000003E-4</v>
      </c>
      <c r="C439">
        <f>(-1*B439+1/EXP((Data!$K$58*2.54)*(Data!$V$60+Data!$V$61*($A439/1000)+Data!$V$62*($A439/1000)^2+Data!$V$63*($A439/1000)^3+Data!$V$64*($A439/1000)^4+Data!$V$65*($A439/1000)^5+Data!$V$66*($A439/1000)^6+Data!$V$67*($A439/1000)^7)))</f>
        <v>0.71693181051075427</v>
      </c>
    </row>
    <row r="440" spans="1:3" x14ac:dyDescent="0.3">
      <c r="A440">
        <f>24.042251*(29979200000/1000000000)</f>
        <v>720.76745117920007</v>
      </c>
      <c r="B440">
        <v>5.4000000000000001E-4</v>
      </c>
      <c r="C440">
        <f>(-1*B440+1/EXP((Data!$K$58*2.54)*(Data!$V$60+Data!$V$61*($A440/1000)+Data!$V$62*($A440/1000)^2+Data!$V$63*($A440/1000)^3+Data!$V$64*($A440/1000)^4+Data!$V$65*($A440/1000)^5+Data!$V$66*($A440/1000)^6+Data!$V$67*($A440/1000)^7)))</f>
        <v>0.71678972496837323</v>
      </c>
    </row>
    <row r="441" spans="1:3" x14ac:dyDescent="0.3">
      <c r="A441">
        <f>24.092654*(29979200000/1000000000)</f>
        <v>722.27849279680004</v>
      </c>
      <c r="B441">
        <v>5.9999999999999995E-4</v>
      </c>
      <c r="C441">
        <f>(-1*B441+1/EXP((Data!$K$58*2.54)*(Data!$V$60+Data!$V$61*($A441/1000)+Data!$V$62*($A441/1000)^2+Data!$V$63*($A441/1000)^3+Data!$V$64*($A441/1000)^4+Data!$V$65*($A441/1000)^5+Data!$V$66*($A441/1000)^6+Data!$V$67*($A441/1000)^7)))</f>
        <v>0.71649872900508682</v>
      </c>
    </row>
    <row r="442" spans="1:3" x14ac:dyDescent="0.3">
      <c r="A442">
        <f>24.143057*(29979200000/1000000000)</f>
        <v>723.78953441440001</v>
      </c>
      <c r="B442">
        <v>7.1000000000000002E-4</v>
      </c>
      <c r="C442">
        <f>(-1*B442+1/EXP((Data!$K$58*2.54)*(Data!$V$60+Data!$V$61*($A442/1000)+Data!$V$62*($A442/1000)^2+Data!$V$63*($A442/1000)^3+Data!$V$64*($A442/1000)^4+Data!$V$65*($A442/1000)^5+Data!$V$66*($A442/1000)^6+Data!$V$67*($A442/1000)^7)))</f>
        <v>0.71615881761234912</v>
      </c>
    </row>
    <row r="443" spans="1:3" x14ac:dyDescent="0.3">
      <c r="A443">
        <f>24.19346*(29979200000/1000000000)</f>
        <v>725.30057603199998</v>
      </c>
      <c r="B443">
        <v>7.1000000000000002E-4</v>
      </c>
      <c r="C443">
        <f>(-1*B443+1/EXP((Data!$K$58*2.54)*(Data!$V$60+Data!$V$61*($A443/1000)+Data!$V$62*($A443/1000)^2+Data!$V$63*($A443/1000)^3+Data!$V$64*($A443/1000)^4+Data!$V$65*($A443/1000)^5+Data!$V$66*($A443/1000)^6+Data!$V$67*($A443/1000)^7)))</f>
        <v>0.71592998578737055</v>
      </c>
    </row>
    <row r="444" spans="1:3" x14ac:dyDescent="0.3">
      <c r="A444">
        <f>24.243863*(29979200000/1000000000)</f>
        <v>726.81161764959995</v>
      </c>
      <c r="B444">
        <v>6.6E-4</v>
      </c>
      <c r="C444">
        <f>(-1*B444+1/EXP((Data!$K$58*2.54)*(Data!$V$60+Data!$V$61*($A444/1000)+Data!$V$62*($A444/1000)^2+Data!$V$63*($A444/1000)^3+Data!$V$64*($A444/1000)^4+Data!$V$65*($A444/1000)^5+Data!$V$66*($A444/1000)^6+Data!$V$67*($A444/1000)^7)))</f>
        <v>0.71575222853311427</v>
      </c>
    </row>
    <row r="445" spans="1:3" x14ac:dyDescent="0.3">
      <c r="A445">
        <f>24.294266*(29979200000/1000000000)</f>
        <v>728.32265926720004</v>
      </c>
      <c r="B445">
        <v>5.2999999999999998E-4</v>
      </c>
      <c r="C445">
        <f>(-1*B445+1/EXP((Data!$K$58*2.54)*(Data!$V$60+Data!$V$61*($A445/1000)+Data!$V$62*($A445/1000)^2+Data!$V$63*($A445/1000)^3+Data!$V$64*($A445/1000)^4+Data!$V$65*($A445/1000)^5+Data!$V$66*($A445/1000)^6+Data!$V$67*($A445/1000)^7)))</f>
        <v>0.71565554085829053</v>
      </c>
    </row>
    <row r="446" spans="1:3" x14ac:dyDescent="0.3">
      <c r="A446">
        <f>24.344669*(29979200000/1000000000)</f>
        <v>729.83370088480001</v>
      </c>
      <c r="B446">
        <v>5.9000000000000003E-4</v>
      </c>
      <c r="C446">
        <f>(-1*B446+1/EXP((Data!$K$58*2.54)*(Data!$V$60+Data!$V$61*($A446/1000)+Data!$V$62*($A446/1000)^2+Data!$V$63*($A446/1000)^3+Data!$V$64*($A446/1000)^4+Data!$V$65*($A446/1000)^5+Data!$V$66*($A446/1000)^6+Data!$V$67*($A446/1000)^7)))</f>
        <v>0.71536991777735215</v>
      </c>
    </row>
    <row r="447" spans="1:3" x14ac:dyDescent="0.3">
      <c r="A447">
        <f>24.395072*(29979200000/1000000000)</f>
        <v>731.34474250240009</v>
      </c>
      <c r="B447">
        <v>7.9000000000000001E-4</v>
      </c>
      <c r="C447">
        <f>(-1*B447+1/EXP((Data!$K$58*2.54)*(Data!$V$60+Data!$V$61*($A447/1000)+Data!$V$62*($A447/1000)^2+Data!$V$63*($A447/1000)^3+Data!$V$64*($A447/1000)^4+Data!$V$65*($A447/1000)^5+Data!$V$66*($A447/1000)^6+Data!$V$67*($A447/1000)^7)))</f>
        <v>0.71494535431048944</v>
      </c>
    </row>
    <row r="448" spans="1:3" x14ac:dyDescent="0.3">
      <c r="A448">
        <f>24.445475*(29979200000/1000000000)</f>
        <v>732.85578412000007</v>
      </c>
      <c r="B448">
        <v>8.4000000000000003E-4</v>
      </c>
      <c r="C448">
        <f>(-1*B448+1/EXP((Data!$K$58*2.54)*(Data!$V$60+Data!$V$61*($A448/1000)+Data!$V$62*($A448/1000)^2+Data!$V$63*($A448/1000)^3+Data!$V$64*($A448/1000)^4+Data!$V$65*($A448/1000)^5+Data!$V$66*($A448/1000)^6+Data!$V$67*($A448/1000)^7)))</f>
        <v>0.7146718454836265</v>
      </c>
    </row>
    <row r="449" spans="1:3" x14ac:dyDescent="0.3">
      <c r="A449">
        <f>24.495878*(29979200000/1000000000)</f>
        <v>734.36682573760004</v>
      </c>
      <c r="B449">
        <v>8.3000000000000001E-4</v>
      </c>
      <c r="C449">
        <f>(-1*B449+1/EXP((Data!$K$58*2.54)*(Data!$V$60+Data!$V$61*($A449/1000)+Data!$V$62*($A449/1000)^2+Data!$V$63*($A449/1000)^3+Data!$V$64*($A449/1000)^4+Data!$V$65*($A449/1000)^5+Data!$V$66*($A449/1000)^6+Data!$V$67*($A449/1000)^7)))</f>
        <v>0.71445938632841732</v>
      </c>
    </row>
    <row r="450" spans="1:3" x14ac:dyDescent="0.3">
      <c r="A450">
        <f>24.546281*(29979200000/1000000000)</f>
        <v>735.87786735520012</v>
      </c>
      <c r="B450">
        <v>7.3999999999999999E-4</v>
      </c>
      <c r="C450">
        <f>(-1*B450+1/EXP((Data!$K$58*2.54)*(Data!$V$60+Data!$V$61*($A450/1000)+Data!$V$62*($A450/1000)^2+Data!$V$63*($A450/1000)^3+Data!$V$64*($A450/1000)^4+Data!$V$65*($A450/1000)^5+Data!$V$66*($A450/1000)^6+Data!$V$67*($A450/1000)^7)))</f>
        <v>0.71432797188224206</v>
      </c>
    </row>
    <row r="451" spans="1:3" x14ac:dyDescent="0.3">
      <c r="A451">
        <f>24.596684*(29979200000/1000000000)</f>
        <v>737.3889089728001</v>
      </c>
      <c r="B451">
        <v>7.5000000000000002E-4</v>
      </c>
      <c r="C451">
        <f>(-1*B451+1/EXP((Data!$K$58*2.54)*(Data!$V$60+Data!$V$61*($A451/1000)+Data!$V$62*($A451/1000)^2+Data!$V$63*($A451/1000)^3+Data!$V$64*($A451/1000)^4+Data!$V$65*($A451/1000)^5+Data!$V$66*($A451/1000)^6+Data!$V$67*($A451/1000)^7)))</f>
        <v>0.71409759718820354</v>
      </c>
    </row>
    <row r="452" spans="1:3" x14ac:dyDescent="0.3">
      <c r="A452">
        <f>24.647087*(29979200000/1000000000)</f>
        <v>738.89995059040007</v>
      </c>
      <c r="B452">
        <v>8.1999999999999998E-4</v>
      </c>
      <c r="C452">
        <f>(-1*B452+1/EXP((Data!$K$58*2.54)*(Data!$V$60+Data!$V$61*($A452/1000)+Data!$V$62*($A452/1000)^2+Data!$V$63*($A452/1000)^3+Data!$V$64*($A452/1000)^4+Data!$V$65*($A452/1000)^5+Data!$V$66*($A452/1000)^6+Data!$V$67*($A452/1000)^7)))</f>
        <v>0.71380825729512432</v>
      </c>
    </row>
    <row r="453" spans="1:3" x14ac:dyDescent="0.3">
      <c r="A453">
        <f>24.69749*(29979200000/1000000000)</f>
        <v>740.41099220800004</v>
      </c>
      <c r="B453">
        <v>7.1000000000000002E-4</v>
      </c>
      <c r="C453">
        <f>(-1*B453+1/EXP((Data!$K$58*2.54)*(Data!$V$60+Data!$V$61*($A453/1000)+Data!$V$62*($A453/1000)^2+Data!$V$63*($A453/1000)^3+Data!$V$64*($A453/1000)^4+Data!$V$65*($A453/1000)^5+Data!$V$66*($A453/1000)^6+Data!$V$67*($A453/1000)^7)))</f>
        <v>0.71369994725754415</v>
      </c>
    </row>
    <row r="454" spans="1:3" x14ac:dyDescent="0.3">
      <c r="A454">
        <f>24.747893*(29979200000/1000000000)</f>
        <v>741.92203382560001</v>
      </c>
      <c r="B454">
        <v>8.0000000000000004E-4</v>
      </c>
      <c r="C454">
        <f>(-1*B454+1/EXP((Data!$K$58*2.54)*(Data!$V$60+Data!$V$61*($A454/1000)+Data!$V$62*($A454/1000)^2+Data!$V$63*($A454/1000)^3+Data!$V$64*($A454/1000)^4+Data!$V$65*($A454/1000)^5+Data!$V$66*($A454/1000)^6+Data!$V$67*($A454/1000)^7)))</f>
        <v>0.71339266213571706</v>
      </c>
    </row>
    <row r="455" spans="1:3" x14ac:dyDescent="0.3">
      <c r="A455">
        <f>24.798296*(29979200000/1000000000)</f>
        <v>743.4330754432001</v>
      </c>
      <c r="B455">
        <v>9.1E-4</v>
      </c>
      <c r="C455">
        <f>(-1*B455+1/EXP((Data!$K$58*2.54)*(Data!$V$60+Data!$V$61*($A455/1000)+Data!$V$62*($A455/1000)^2+Data!$V$63*($A455/1000)^3+Data!$V$64*($A455/1000)^4+Data!$V$65*($A455/1000)^5+Data!$V$66*($A455/1000)^6+Data!$V$67*($A455/1000)^7)))</f>
        <v>0.71306639699560914</v>
      </c>
    </row>
    <row r="456" spans="1:3" x14ac:dyDescent="0.3">
      <c r="A456">
        <f>24.848699*(29979200000/1000000000)</f>
        <v>744.94411706080007</v>
      </c>
      <c r="B456">
        <v>9.3000000000000005E-4</v>
      </c>
      <c r="C456">
        <f>(-1*B456+1/EXP((Data!$K$58*2.54)*(Data!$V$60+Data!$V$61*($A456/1000)+Data!$V$62*($A456/1000)^2+Data!$V$63*($A456/1000)^3+Data!$V$64*($A456/1000)^4+Data!$V$65*($A456/1000)^5+Data!$V$66*($A456/1000)^6+Data!$V$67*($A456/1000)^7)))</f>
        <v>0.71283114690889704</v>
      </c>
    </row>
    <row r="457" spans="1:3" x14ac:dyDescent="0.3">
      <c r="A457">
        <f>24.899102*(29979200000/1000000000)</f>
        <v>746.45515867840004</v>
      </c>
      <c r="B457">
        <v>1.1100000000000001E-3</v>
      </c>
      <c r="C457">
        <f>(-1*B457+1/EXP((Data!$K$58*2.54)*(Data!$V$60+Data!$V$61*($A457/1000)+Data!$V$62*($A457/1000)^2+Data!$V$63*($A457/1000)^3+Data!$V$64*($A457/1000)^4+Data!$V$65*($A457/1000)^5+Data!$V$66*($A457/1000)^6+Data!$V$67*($A457/1000)^7)))</f>
        <v>0.7124369069529658</v>
      </c>
    </row>
    <row r="458" spans="1:3" x14ac:dyDescent="0.3">
      <c r="A458">
        <f>24.949505*(29979200000/1000000000)</f>
        <v>747.96620029600001</v>
      </c>
      <c r="B458">
        <v>1.31E-3</v>
      </c>
      <c r="C458">
        <f>(-1*B458+1/EXP((Data!$K$58*2.54)*(Data!$V$60+Data!$V$61*($A458/1000)+Data!$V$62*($A458/1000)^2+Data!$V$63*($A458/1000)^3+Data!$V$64*($A458/1000)^4+Data!$V$65*($A458/1000)^5+Data!$V$66*($A458/1000)^6+Data!$V$67*($A458/1000)^7)))</f>
        <v>0.71202367221090834</v>
      </c>
    </row>
    <row r="459" spans="1:3" x14ac:dyDescent="0.3">
      <c r="A459">
        <f>24.999908*(29979200000/1000000000)</f>
        <v>749.47724191359998</v>
      </c>
      <c r="B459">
        <v>1.56E-3</v>
      </c>
      <c r="C459">
        <f>(-1*B459+1/EXP((Data!$K$58*2.54)*(Data!$V$60+Data!$V$61*($A459/1000)+Data!$V$62*($A459/1000)^2+Data!$V$63*($A459/1000)^3+Data!$V$64*($A459/1000)^4+Data!$V$65*($A459/1000)^5+Data!$V$66*($A459/1000)^6+Data!$V$67*($A459/1000)^7)))</f>
        <v>0.71156143777152314</v>
      </c>
    </row>
    <row r="460" spans="1:3" x14ac:dyDescent="0.3">
      <c r="A460">
        <f>25.050311*(29979200000/1000000000)</f>
        <v>750.98828353120007</v>
      </c>
      <c r="B460">
        <v>2.0699999999999998E-3</v>
      </c>
      <c r="C460">
        <f>(-1*B460+1/EXP((Data!$K$58*2.54)*(Data!$V$60+Data!$V$61*($A460/1000)+Data!$V$62*($A460/1000)^2+Data!$V$63*($A460/1000)^3+Data!$V$64*($A460/1000)^4+Data!$V$65*($A460/1000)^5+Data!$V$66*($A460/1000)^6+Data!$V$67*($A460/1000)^7)))</f>
        <v>0.71084019872931425</v>
      </c>
    </row>
    <row r="461" spans="1:3" x14ac:dyDescent="0.3">
      <c r="A461">
        <f>25.100714*(29979200000/1000000000)</f>
        <v>752.49932514880004</v>
      </c>
      <c r="B461">
        <v>2.9299999999999999E-3</v>
      </c>
      <c r="C461">
        <f>(-1*B461+1/EXP((Data!$K$58*2.54)*(Data!$V$60+Data!$V$61*($A461/1000)+Data!$V$62*($A461/1000)^2+Data!$V$63*($A461/1000)^3+Data!$V$64*($A461/1000)^4+Data!$V$65*($A461/1000)^5+Data!$V$66*($A461/1000)^6+Data!$V$67*($A461/1000)^7)))</f>
        <v>0.70976995018449096</v>
      </c>
    </row>
    <row r="462" spans="1:3" x14ac:dyDescent="0.3">
      <c r="A462">
        <f>25.151117*(29979200000/1000000000)</f>
        <v>754.01036676640001</v>
      </c>
      <c r="B462">
        <v>2.0899999999999998E-3</v>
      </c>
      <c r="C462">
        <f>(-1*B462+1/EXP((Data!$K$58*2.54)*(Data!$V$60+Data!$V$61*($A462/1000)+Data!$V$62*($A462/1000)^2+Data!$V$63*($A462/1000)^3+Data!$V$64*($A462/1000)^4+Data!$V$65*($A462/1000)^5+Data!$V$66*($A462/1000)^6+Data!$V$67*($A462/1000)^7)))</f>
        <v>0.71040068724296657</v>
      </c>
    </row>
    <row r="463" spans="1:3" x14ac:dyDescent="0.3">
      <c r="A463">
        <f>25.20152*(29979200000/1000000000)</f>
        <v>755.52140838399998</v>
      </c>
      <c r="B463">
        <v>1.14E-3</v>
      </c>
      <c r="C463">
        <f>(-1*B463+1/EXP((Data!$K$58*2.54)*(Data!$V$60+Data!$V$61*($A463/1000)+Data!$V$62*($A463/1000)^2+Data!$V$63*($A463/1000)^3+Data!$V$64*($A463/1000)^4+Data!$V$65*($A463/1000)^5+Data!$V$66*($A463/1000)^6+Data!$V$67*($A463/1000)^7)))</f>
        <v>0.71114240501635984</v>
      </c>
    </row>
    <row r="464" spans="1:3" x14ac:dyDescent="0.3">
      <c r="A464">
        <f>25.251923*(29979200000/1000000000)</f>
        <v>757.03245000160007</v>
      </c>
      <c r="B464">
        <v>7.9000000000000001E-4</v>
      </c>
      <c r="C464">
        <f>(-1*B464+1/EXP((Data!$K$58*2.54)*(Data!$V$60+Data!$V$61*($A464/1000)+Data!$V$62*($A464/1000)^2+Data!$V$63*($A464/1000)^3+Data!$V$64*($A464/1000)^4+Data!$V$65*($A464/1000)^5+Data!$V$66*($A464/1000)^6+Data!$V$67*($A464/1000)^7)))</f>
        <v>0.71128509862199407</v>
      </c>
    </row>
    <row r="465" spans="1:3" x14ac:dyDescent="0.3">
      <c r="A465">
        <f>25.302326*(29979200000/1000000000)</f>
        <v>758.54349161920015</v>
      </c>
      <c r="B465">
        <v>6.4000000000000005E-4</v>
      </c>
      <c r="C465">
        <f>(-1*B465+1/EXP((Data!$K$58*2.54)*(Data!$V$60+Data!$V$61*($A465/1000)+Data!$V$62*($A465/1000)^2+Data!$V$63*($A465/1000)^3+Data!$V$64*($A465/1000)^4+Data!$V$65*($A465/1000)^5+Data!$V$66*($A465/1000)^6+Data!$V$67*($A465/1000)^7)))</f>
        <v>0.71122876318289807</v>
      </c>
    </row>
    <row r="466" spans="1:3" x14ac:dyDescent="0.3">
      <c r="A466">
        <f>25.352729*(29979200000/1000000000)</f>
        <v>760.05453323680013</v>
      </c>
      <c r="B466">
        <v>6.4999999999999997E-4</v>
      </c>
      <c r="C466">
        <f>(-1*B466+1/EXP((Data!$K$58*2.54)*(Data!$V$60+Data!$V$61*($A466/1000)+Data!$V$62*($A466/1000)^2+Data!$V$63*($A466/1000)^3+Data!$V$64*($A466/1000)^4+Data!$V$65*($A466/1000)^5+Data!$V$66*($A466/1000)^6+Data!$V$67*($A466/1000)^7)))</f>
        <v>0.71101339382780759</v>
      </c>
    </row>
    <row r="467" spans="1:3" x14ac:dyDescent="0.3">
      <c r="A467">
        <f>25.403132*(29979200000/1000000000)</f>
        <v>761.5655748544001</v>
      </c>
      <c r="B467">
        <v>6.0999999999999997E-4</v>
      </c>
      <c r="C467">
        <f>(-1*B467+1/EXP((Data!$K$58*2.54)*(Data!$V$60+Data!$V$61*($A467/1000)+Data!$V$62*($A467/1000)^2+Data!$V$63*($A467/1000)^3+Data!$V$64*($A467/1000)^4+Data!$V$65*($A467/1000)^5+Data!$V$66*($A467/1000)^6+Data!$V$67*($A467/1000)^7)))</f>
        <v>0.71084898569116617</v>
      </c>
    </row>
    <row r="468" spans="1:3" x14ac:dyDescent="0.3">
      <c r="A468">
        <f>25.453535*(29979200000/1000000000)</f>
        <v>763.07661647200007</v>
      </c>
      <c r="B468">
        <v>5.2999999999999998E-4</v>
      </c>
      <c r="C468">
        <f>(-1*B468+1/EXP((Data!$K$58*2.54)*(Data!$V$60+Data!$V$61*($A468/1000)+Data!$V$62*($A468/1000)^2+Data!$V$63*($A468/1000)^3+Data!$V$64*($A468/1000)^4+Data!$V$65*($A468/1000)^5+Data!$V$66*($A468/1000)^6+Data!$V$67*($A468/1000)^7)))</f>
        <v>0.71072553391312598</v>
      </c>
    </row>
    <row r="469" spans="1:3" x14ac:dyDescent="0.3">
      <c r="A469">
        <f>25.503938*(29979200000/1000000000)</f>
        <v>764.58765808960004</v>
      </c>
      <c r="B469">
        <v>5.4000000000000001E-4</v>
      </c>
      <c r="C469">
        <f>(-1*B469+1/EXP((Data!$K$58*2.54)*(Data!$V$60+Data!$V$61*($A469/1000)+Data!$V$62*($A469/1000)^2+Data!$V$63*($A469/1000)^3+Data!$V$64*($A469/1000)^4+Data!$V$65*($A469/1000)^5+Data!$V$66*($A469/1000)^6+Data!$V$67*($A469/1000)^7)))</f>
        <v>0.71051303363955054</v>
      </c>
    </row>
    <row r="470" spans="1:3" x14ac:dyDescent="0.3">
      <c r="A470">
        <f>25.554341*(29979200000/1000000000)</f>
        <v>766.09869970720001</v>
      </c>
      <c r="B470">
        <v>5.4000000000000001E-4</v>
      </c>
      <c r="C470">
        <f>(-1*B470+1/EXP((Data!$K$58*2.54)*(Data!$V$60+Data!$V$61*($A470/1000)+Data!$V$62*($A470/1000)^2+Data!$V$63*($A470/1000)^3+Data!$V$64*($A470/1000)^4+Data!$V$65*($A470/1000)^5+Data!$V$66*($A470/1000)^6+Data!$V$67*($A470/1000)^7)))</f>
        <v>0.71031148002201649</v>
      </c>
    </row>
    <row r="471" spans="1:3" x14ac:dyDescent="0.3">
      <c r="A471">
        <f>25.604744*(29979200000/1000000000)</f>
        <v>767.6097413248001</v>
      </c>
      <c r="B471">
        <v>3.8999999999999999E-4</v>
      </c>
      <c r="C471">
        <f>(-1*B471+1/EXP((Data!$K$58*2.54)*(Data!$V$60+Data!$V$61*($A471/1000)+Data!$V$62*($A471/1000)^2+Data!$V$63*($A471/1000)^3+Data!$V$64*($A471/1000)^4+Data!$V$65*($A471/1000)^5+Data!$V$66*($A471/1000)^6+Data!$V$67*($A471/1000)^7)))</f>
        <v>0.7102608682178152</v>
      </c>
    </row>
    <row r="472" spans="1:3" x14ac:dyDescent="0.3">
      <c r="A472">
        <f>25.655147*(29979200000/1000000000)</f>
        <v>769.12078294240007</v>
      </c>
      <c r="B472">
        <v>4.2999999999999999E-4</v>
      </c>
      <c r="C472">
        <f>(-1*B472+1/EXP((Data!$K$58*2.54)*(Data!$V$60+Data!$V$61*($A472/1000)+Data!$V$62*($A472/1000)^2+Data!$V$63*($A472/1000)^3+Data!$V$64*($A472/1000)^4+Data!$V$65*($A472/1000)^5+Data!$V$66*($A472/1000)^6+Data!$V$67*($A472/1000)^7)))</f>
        <v>0.71002119338995628</v>
      </c>
    </row>
    <row r="473" spans="1:3" x14ac:dyDescent="0.3">
      <c r="A473">
        <f>25.70555*(29979200000/1000000000)</f>
        <v>770.63182456000004</v>
      </c>
      <c r="B473">
        <v>5.9999999999999995E-4</v>
      </c>
      <c r="C473">
        <f>(-1*B473+1/EXP((Data!$K$58*2.54)*(Data!$V$60+Data!$V$61*($A473/1000)+Data!$V$62*($A473/1000)^2+Data!$V$63*($A473/1000)^3+Data!$V$64*($A473/1000)^4+Data!$V$65*($A473/1000)^5+Data!$V$66*($A473/1000)^6+Data!$V$67*($A473/1000)^7)))</f>
        <v>0.70965245070717009</v>
      </c>
    </row>
    <row r="474" spans="1:3" x14ac:dyDescent="0.3">
      <c r="A474">
        <f>25.755953*(29979200000/1000000000)</f>
        <v>772.14286617760001</v>
      </c>
      <c r="B474">
        <v>6.8999999999999997E-4</v>
      </c>
      <c r="C474">
        <f>(-1*B474+1/EXP((Data!$K$58*2.54)*(Data!$V$60+Data!$V$61*($A474/1000)+Data!$V$62*($A474/1000)^2+Data!$V$63*($A474/1000)^3+Data!$V$64*($A474/1000)^4+Data!$V$65*($A474/1000)^5+Data!$V$66*($A474/1000)^6+Data!$V$67*($A474/1000)^7)))</f>
        <v>0.7093646353439107</v>
      </c>
    </row>
    <row r="475" spans="1:3" x14ac:dyDescent="0.3">
      <c r="A475">
        <f>25.806356*(29979200000/1000000000)</f>
        <v>773.65390779519998</v>
      </c>
      <c r="B475">
        <v>6.3000000000000003E-4</v>
      </c>
      <c r="C475">
        <f>(-1*B475+1/EXP((Data!$K$58*2.54)*(Data!$V$60+Data!$V$61*($A475/1000)+Data!$V$62*($A475/1000)^2+Data!$V$63*($A475/1000)^3+Data!$V$64*($A475/1000)^4+Data!$V$65*($A475/1000)^5+Data!$V$66*($A475/1000)^6+Data!$V$67*($A475/1000)^7)))</f>
        <v>0.70922774248035947</v>
      </c>
    </row>
    <row r="476" spans="1:3" x14ac:dyDescent="0.3">
      <c r="A476">
        <f>25.856759*(29979200000/1000000000)</f>
        <v>775.16494941280007</v>
      </c>
      <c r="B476">
        <v>4.6999999999999999E-4</v>
      </c>
      <c r="C476">
        <f>(-1*B476+1/EXP((Data!$K$58*2.54)*(Data!$V$60+Data!$V$61*($A476/1000)+Data!$V$62*($A476/1000)^2+Data!$V$63*($A476/1000)^3+Data!$V$64*($A476/1000)^4+Data!$V$65*($A476/1000)^5+Data!$V$66*($A476/1000)^6+Data!$V$67*($A476/1000)^7)))</f>
        <v>0.70919176730242883</v>
      </c>
    </row>
    <row r="477" spans="1:3" x14ac:dyDescent="0.3">
      <c r="A477">
        <f>25.907162*(29979200000/1000000000)</f>
        <v>776.67599103040004</v>
      </c>
      <c r="B477">
        <v>5.9000000000000003E-4</v>
      </c>
      <c r="C477">
        <f>(-1*B477+1/EXP((Data!$K$58*2.54)*(Data!$V$60+Data!$V$61*($A477/1000)+Data!$V$62*($A477/1000)^2+Data!$V$63*($A477/1000)^3+Data!$V$64*($A477/1000)^4+Data!$V$65*($A477/1000)^5+Data!$V$66*($A477/1000)^6+Data!$V$67*($A477/1000)^7)))</f>
        <v>0.70887670500176636</v>
      </c>
    </row>
    <row r="478" spans="1:3" x14ac:dyDescent="0.3">
      <c r="A478">
        <f>25.957565*(29979200000/1000000000)</f>
        <v>778.18703264800001</v>
      </c>
      <c r="B478">
        <v>6.8999999999999997E-4</v>
      </c>
      <c r="C478">
        <f>(-1*B478+1/EXP((Data!$K$58*2.54)*(Data!$V$60+Data!$V$61*($A478/1000)+Data!$V$62*($A478/1000)^2+Data!$V$63*($A478/1000)^3+Data!$V$64*($A478/1000)^4+Data!$V$65*($A478/1000)^5+Data!$V$66*($A478/1000)^6+Data!$V$67*($A478/1000)^7)))</f>
        <v>0.70858255077575916</v>
      </c>
    </row>
    <row r="479" spans="1:3" x14ac:dyDescent="0.3">
      <c r="A479">
        <f>26.007968*(29979200000/1000000000)</f>
        <v>779.69807426559998</v>
      </c>
      <c r="B479">
        <v>6.6E-4</v>
      </c>
      <c r="C479">
        <f>(-1*B479+1/EXP((Data!$K$58*2.54)*(Data!$V$60+Data!$V$61*($A479/1000)+Data!$V$62*($A479/1000)^2+Data!$V$63*($A479/1000)^3+Data!$V$64*($A479/1000)^4+Data!$V$65*($A479/1000)^5+Data!$V$66*($A479/1000)^6+Data!$V$67*($A479/1000)^7)))</f>
        <v>0.7084192998275376</v>
      </c>
    </row>
    <row r="480" spans="1:3" x14ac:dyDescent="0.3">
      <c r="A480">
        <f>26.058371*(29979200000/1000000000)</f>
        <v>781.20911588319996</v>
      </c>
      <c r="B480">
        <v>6.8000000000000005E-4</v>
      </c>
      <c r="C480">
        <f>(-1*B480+1/EXP((Data!$K$58*2.54)*(Data!$V$60+Data!$V$61*($A480/1000)+Data!$V$62*($A480/1000)^2+Data!$V$63*($A480/1000)^3+Data!$V$64*($A480/1000)^4+Data!$V$65*($A480/1000)^5+Data!$V$66*($A480/1000)^6+Data!$V$67*($A480/1000)^7)))</f>
        <v>0.70820694736598155</v>
      </c>
    </row>
    <row r="481" spans="1:3" x14ac:dyDescent="0.3">
      <c r="A481">
        <f>26.108774*(29979200000/1000000000)</f>
        <v>782.72015750080004</v>
      </c>
      <c r="B481">
        <v>5.4000000000000001E-4</v>
      </c>
      <c r="C481">
        <f>(-1*B481+1/EXP((Data!$K$58*2.54)*(Data!$V$60+Data!$V$61*($A481/1000)+Data!$V$62*($A481/1000)^2+Data!$V$63*($A481/1000)^3+Data!$V$64*($A481/1000)^4+Data!$V$65*($A481/1000)^5+Data!$V$66*($A481/1000)^6+Data!$V$67*($A481/1000)^7)))</f>
        <v>0.70815548860572375</v>
      </c>
    </row>
    <row r="482" spans="1:3" x14ac:dyDescent="0.3">
      <c r="A482">
        <f>26.159177*(29979200000/1000000000)</f>
        <v>784.23119911840001</v>
      </c>
      <c r="B482">
        <v>5.6999999999999998E-4</v>
      </c>
      <c r="C482">
        <f>(-1*B482+1/EXP((Data!$K$58*2.54)*(Data!$V$60+Data!$V$61*($A482/1000)+Data!$V$62*($A482/1000)^2+Data!$V$63*($A482/1000)^3+Data!$V$64*($A482/1000)^4+Data!$V$65*($A482/1000)^5+Data!$V$66*($A482/1000)^6+Data!$V$67*($A482/1000)^7)))</f>
        <v>0.7079349187671572</v>
      </c>
    </row>
    <row r="483" spans="1:3" x14ac:dyDescent="0.3">
      <c r="A483">
        <f>26.20958*(29979200000/1000000000)</f>
        <v>785.7422407360001</v>
      </c>
      <c r="B483">
        <v>6.4000000000000005E-4</v>
      </c>
      <c r="C483">
        <f>(-1*B483+1/EXP((Data!$K$58*2.54)*(Data!$V$60+Data!$V$61*($A483/1000)+Data!$V$62*($A483/1000)^2+Data!$V$63*($A483/1000)^3+Data!$V$64*($A483/1000)^4+Data!$V$65*($A483/1000)^5+Data!$V$66*($A483/1000)^6+Data!$V$67*($A483/1000)^7)))</f>
        <v>0.70767523307643909</v>
      </c>
    </row>
    <row r="484" spans="1:3" x14ac:dyDescent="0.3">
      <c r="A484">
        <f>26.259983*(29979200000/1000000000)</f>
        <v>787.25328235360007</v>
      </c>
      <c r="B484">
        <v>6.2E-4</v>
      </c>
      <c r="C484">
        <f>(-1*B484+1/EXP((Data!$K$58*2.54)*(Data!$V$60+Data!$V$61*($A484/1000)+Data!$V$62*($A484/1000)^2+Data!$V$63*($A484/1000)^3+Data!$V$64*($A484/1000)^4+Data!$V$65*($A484/1000)^5+Data!$V$66*($A484/1000)^6+Data!$V$67*($A484/1000)^7)))</f>
        <v>0.70750642676549802</v>
      </c>
    </row>
    <row r="485" spans="1:3" x14ac:dyDescent="0.3">
      <c r="A485">
        <f>26.310386*(29979200000/1000000000)</f>
        <v>788.76432397120004</v>
      </c>
      <c r="B485">
        <v>6.9999999999999999E-4</v>
      </c>
      <c r="C485">
        <f>(-1*B485+1/EXP((Data!$K$58*2.54)*(Data!$V$60+Data!$V$61*($A485/1000)+Data!$V$62*($A485/1000)^2+Data!$V$63*($A485/1000)^3+Data!$V$64*($A485/1000)^4+Data!$V$65*($A485/1000)^5+Data!$V$66*($A485/1000)^6+Data!$V$67*($A485/1000)^7)))</f>
        <v>0.7072384950720394</v>
      </c>
    </row>
    <row r="486" spans="1:3" x14ac:dyDescent="0.3">
      <c r="A486">
        <f>26.360789*(29979200000/1000000000)</f>
        <v>790.27536558880013</v>
      </c>
      <c r="B486">
        <v>8.4999999999999995E-4</v>
      </c>
      <c r="C486">
        <f>(-1*B486+1/EXP((Data!$K$58*2.54)*(Data!$V$60+Data!$V$61*($A486/1000)+Data!$V$62*($A486/1000)^2+Data!$V$63*($A486/1000)^3+Data!$V$64*($A486/1000)^4+Data!$V$65*($A486/1000)^5+Data!$V$66*($A486/1000)^6+Data!$V$67*($A486/1000)^7)))</f>
        <v>0.70690143323955246</v>
      </c>
    </row>
    <row r="487" spans="1:3" x14ac:dyDescent="0.3">
      <c r="A487">
        <f>26.411192*(29979200000/1000000000)</f>
        <v>791.7864072064001</v>
      </c>
      <c r="B487">
        <v>1.1299999999999999E-3</v>
      </c>
      <c r="C487">
        <f>(-1*B487+1/EXP((Data!$K$58*2.54)*(Data!$V$60+Data!$V$61*($A487/1000)+Data!$V$62*($A487/1000)^2+Data!$V$63*($A487/1000)^3+Data!$V$64*($A487/1000)^4+Data!$V$65*($A487/1000)^5+Data!$V$66*($A487/1000)^6+Data!$V$67*($A487/1000)^7)))</f>
        <v>0.70643523651731688</v>
      </c>
    </row>
    <row r="488" spans="1:3" x14ac:dyDescent="0.3">
      <c r="A488">
        <f>26.461595*(29979200000/1000000000)</f>
        <v>793.29744882400007</v>
      </c>
      <c r="B488">
        <v>9.6000000000000002E-4</v>
      </c>
      <c r="C488">
        <f>(-1*B488+1/EXP((Data!$K$58*2.54)*(Data!$V$60+Data!$V$61*($A488/1000)+Data!$V$62*($A488/1000)^2+Data!$V$63*($A488/1000)^3+Data!$V$64*($A488/1000)^4+Data!$V$65*($A488/1000)^5+Data!$V$66*($A488/1000)^6+Data!$V$67*($A488/1000)^7)))</f>
        <v>0.70641990016041001</v>
      </c>
    </row>
    <row r="489" spans="1:3" x14ac:dyDescent="0.3">
      <c r="A489">
        <f>26.511998*(29979200000/1000000000)</f>
        <v>794.80849044160004</v>
      </c>
      <c r="B489">
        <v>8.8000000000000003E-4</v>
      </c>
      <c r="C489">
        <f>(-1*B489+1/EXP((Data!$K$58*2.54)*(Data!$V$60+Data!$V$61*($A489/1000)+Data!$V$62*($A489/1000)^2+Data!$V$63*($A489/1000)^3+Data!$V$64*($A489/1000)^4+Data!$V$65*($A489/1000)^5+Data!$V$66*($A489/1000)^6+Data!$V$67*($A489/1000)^7)))</f>
        <v>0.70631541942971365</v>
      </c>
    </row>
    <row r="490" spans="1:3" x14ac:dyDescent="0.3">
      <c r="A490">
        <f>26.562401*(29979200000/1000000000)</f>
        <v>796.31953205920001</v>
      </c>
      <c r="B490">
        <v>9.6000000000000002E-4</v>
      </c>
      <c r="C490">
        <f>(-1*B490+1/EXP((Data!$K$58*2.54)*(Data!$V$60+Data!$V$61*($A490/1000)+Data!$V$62*($A490/1000)^2+Data!$V$63*($A490/1000)^3+Data!$V$64*($A490/1000)^4+Data!$V$65*($A490/1000)^5+Data!$V$66*($A490/1000)^6+Data!$V$67*($A490/1000)^7)))</f>
        <v>0.70605178959192272</v>
      </c>
    </row>
    <row r="491" spans="1:3" x14ac:dyDescent="0.3">
      <c r="A491">
        <f>26.612804*(29979200000/1000000000)</f>
        <v>797.8305736768001</v>
      </c>
      <c r="B491">
        <v>8.3000000000000001E-4</v>
      </c>
      <c r="C491">
        <f>(-1*B491+1/EXP((Data!$K$58*2.54)*(Data!$V$60+Data!$V$61*($A491/1000)+Data!$V$62*($A491/1000)^2+Data!$V$63*($A491/1000)^3+Data!$V$64*($A491/1000)^4+Data!$V$65*($A491/1000)^5+Data!$V$66*($A491/1000)^6+Data!$V$67*($A491/1000)^7)))</f>
        <v>0.70599900591955234</v>
      </c>
    </row>
    <row r="492" spans="1:3" x14ac:dyDescent="0.3">
      <c r="A492">
        <f>26.663207*(29979200000/1000000000)</f>
        <v>799.34161529440007</v>
      </c>
      <c r="B492">
        <v>7.3999999999999999E-4</v>
      </c>
      <c r="C492">
        <f>(-1*B492+1/EXP((Data!$K$58*2.54)*(Data!$V$60+Data!$V$61*($A492/1000)+Data!$V$62*($A492/1000)^2+Data!$V$63*($A492/1000)^3+Data!$V$64*($A492/1000)^4+Data!$V$65*($A492/1000)^5+Data!$V$66*($A492/1000)^6+Data!$V$67*($A492/1000)^7)))</f>
        <v>0.70590706369094636</v>
      </c>
    </row>
    <row r="493" spans="1:3" x14ac:dyDescent="0.3">
      <c r="A493">
        <f>26.71361*(29979200000/1000000000)</f>
        <v>800.85265691200004</v>
      </c>
      <c r="B493">
        <v>7.3999999999999999E-4</v>
      </c>
      <c r="C493">
        <f>(-1*B493+1/EXP((Data!$K$58*2.54)*(Data!$V$60+Data!$V$61*($A493/1000)+Data!$V$62*($A493/1000)^2+Data!$V$63*($A493/1000)^3+Data!$V$64*($A493/1000)^4+Data!$V$65*($A493/1000)^5+Data!$V$66*($A493/1000)^6+Data!$V$67*($A493/1000)^7)))</f>
        <v>0.70572595819028583</v>
      </c>
    </row>
    <row r="494" spans="1:3" x14ac:dyDescent="0.3">
      <c r="A494">
        <f>26.764013*(29979200000/1000000000)</f>
        <v>802.36369852960001</v>
      </c>
      <c r="B494">
        <v>9.5E-4</v>
      </c>
      <c r="C494">
        <f>(-1*B494+1/EXP((Data!$K$58*2.54)*(Data!$V$60+Data!$V$61*($A494/1000)+Data!$V$62*($A494/1000)^2+Data!$V$63*($A494/1000)^3+Data!$V$64*($A494/1000)^4+Data!$V$65*($A494/1000)^5+Data!$V$66*($A494/1000)^6+Data!$V$67*($A494/1000)^7)))</f>
        <v>0.70533568470759755</v>
      </c>
    </row>
    <row r="495" spans="1:3" x14ac:dyDescent="0.3">
      <c r="A495">
        <f>26.814416*(29979200000/1000000000)</f>
        <v>803.87474014719999</v>
      </c>
      <c r="B495">
        <v>9.5E-4</v>
      </c>
      <c r="C495">
        <f>(-1*B495+1/EXP((Data!$K$58*2.54)*(Data!$V$60+Data!$V$61*($A495/1000)+Data!$V$62*($A495/1000)^2+Data!$V$63*($A495/1000)^3+Data!$V$64*($A495/1000)^4+Data!$V$65*($A495/1000)^5+Data!$V$66*($A495/1000)^6+Data!$V$67*($A495/1000)^7)))</f>
        <v>0.7051562385387633</v>
      </c>
    </row>
    <row r="496" spans="1:3" x14ac:dyDescent="0.3">
      <c r="A496">
        <f>26.864819*(29979200000/1000000000)</f>
        <v>805.38578176480007</v>
      </c>
      <c r="B496">
        <v>9.6000000000000002E-4</v>
      </c>
      <c r="C496">
        <f>(-1*B496+1/EXP((Data!$K$58*2.54)*(Data!$V$60+Data!$V$61*($A496/1000)+Data!$V$62*($A496/1000)^2+Data!$V$63*($A496/1000)^3+Data!$V$64*($A496/1000)^4+Data!$V$65*($A496/1000)^5+Data!$V$66*($A496/1000)^6+Data!$V$67*($A496/1000)^7)))</f>
        <v>0.70496761498552907</v>
      </c>
    </row>
    <row r="497" spans="1:3" x14ac:dyDescent="0.3">
      <c r="A497">
        <f>26.915222*(29979200000/1000000000)</f>
        <v>806.89682338240004</v>
      </c>
      <c r="B497">
        <v>9.7000000000000005E-4</v>
      </c>
      <c r="C497">
        <f>(-1*B497+1/EXP((Data!$K$58*2.54)*(Data!$V$60+Data!$V$61*($A497/1000)+Data!$V$62*($A497/1000)^2+Data!$V$63*($A497/1000)^3+Data!$V$64*($A497/1000)^4+Data!$V$65*($A497/1000)^5+Data!$V$66*($A497/1000)^6+Data!$V$67*($A497/1000)^7)))</f>
        <v>0.70477980935551476</v>
      </c>
    </row>
    <row r="498" spans="1:3" x14ac:dyDescent="0.3">
      <c r="A498">
        <f>26.965625*(29979200000/1000000000)</f>
        <v>808.4078649999999</v>
      </c>
      <c r="B498">
        <v>8.7000000000000001E-4</v>
      </c>
      <c r="C498">
        <f>(-1*B498+1/EXP((Data!$K$58*2.54)*(Data!$V$60+Data!$V$61*($A498/1000)+Data!$V$62*($A498/1000)^2+Data!$V$63*($A498/1000)^3+Data!$V$64*($A498/1000)^4+Data!$V$65*($A498/1000)^5+Data!$V$66*($A498/1000)^6+Data!$V$67*($A498/1000)^7)))</f>
        <v>0.70470281696222392</v>
      </c>
    </row>
    <row r="499" spans="1:3" x14ac:dyDescent="0.3">
      <c r="A499">
        <f>27.016028*(29979200000/1000000000)</f>
        <v>809.91890661759999</v>
      </c>
      <c r="B499">
        <v>8.9999999999999998E-4</v>
      </c>
      <c r="C499">
        <f>(-1*B499+1/EXP((Data!$K$58*2.54)*(Data!$V$60+Data!$V$61*($A499/1000)+Data!$V$62*($A499/1000)^2+Data!$V$63*($A499/1000)^3+Data!$V$64*($A499/1000)^4+Data!$V$65*($A499/1000)^5+Data!$V$66*($A499/1000)^6+Data!$V$67*($A499/1000)^7)))</f>
        <v>0.70449663312505384</v>
      </c>
    </row>
    <row r="500" spans="1:3" x14ac:dyDescent="0.3">
      <c r="A500">
        <f>27.066431*(29979200000/1000000000)</f>
        <v>811.42994823519996</v>
      </c>
      <c r="B500">
        <v>9.7999999999999997E-4</v>
      </c>
      <c r="C500">
        <f>(-1*B500+1/EXP((Data!$K$58*2.54)*(Data!$V$60+Data!$V$61*($A500/1000)+Data!$V$62*($A500/1000)^2+Data!$V$63*($A500/1000)^3+Data!$V$64*($A500/1000)^4+Data!$V$65*($A500/1000)^5+Data!$V$66*($A500/1000)^6+Data!$V$67*($A500/1000)^7)))</f>
        <v>0.70424125316930608</v>
      </c>
    </row>
    <row r="501" spans="1:3" x14ac:dyDescent="0.3">
      <c r="A501">
        <f>27.116834*(29979200000/1000000000)</f>
        <v>812.94098985280004</v>
      </c>
      <c r="B501">
        <v>1.16E-3</v>
      </c>
      <c r="C501">
        <f>(-1*B501+1/EXP((Data!$K$58*2.54)*(Data!$V$60+Data!$V$61*($A501/1000)+Data!$V$62*($A501/1000)^2+Data!$V$63*($A501/1000)^3+Data!$V$64*($A501/1000)^4+Data!$V$65*($A501/1000)^5+Data!$V$66*($A501/1000)^6+Data!$V$67*($A501/1000)^7)))</f>
        <v>0.70388667242619674</v>
      </c>
    </row>
    <row r="502" spans="1:3" x14ac:dyDescent="0.3">
      <c r="A502">
        <f>27.167237*(29979200000/1000000000)</f>
        <v>814.45203147040013</v>
      </c>
      <c r="B502">
        <v>1.17E-3</v>
      </c>
      <c r="C502">
        <f>(-1*B502+1/EXP((Data!$K$58*2.54)*(Data!$V$60+Data!$V$61*($A502/1000)+Data!$V$62*($A502/1000)^2+Data!$V$63*($A502/1000)^3+Data!$V$64*($A502/1000)^4+Data!$V$65*($A502/1000)^5+Data!$V$66*($A502/1000)^6+Data!$V$67*($A502/1000)^7)))</f>
        <v>0.7037028862328687</v>
      </c>
    </row>
    <row r="503" spans="1:3" x14ac:dyDescent="0.3">
      <c r="A503">
        <f>27.21764*(29979200000/1000000000)</f>
        <v>815.9630730880001</v>
      </c>
      <c r="B503">
        <v>1.0300000000000001E-3</v>
      </c>
      <c r="C503">
        <f>(-1*B503+1/EXP((Data!$K$58*2.54)*(Data!$V$60+Data!$V$61*($A503/1000)+Data!$V$62*($A503/1000)^2+Data!$V$63*($A503/1000)^3+Data!$V$64*($A503/1000)^4+Data!$V$65*($A503/1000)^5+Data!$V$66*($A503/1000)^6+Data!$V$67*($A503/1000)^7)))</f>
        <v>0.70366988993240076</v>
      </c>
    </row>
    <row r="504" spans="1:3" x14ac:dyDescent="0.3">
      <c r="A504">
        <f>27.268043*(29979200000/1000000000)</f>
        <v>817.47411470560007</v>
      </c>
      <c r="B504">
        <v>9.8999999999999999E-4</v>
      </c>
      <c r="C504">
        <f>(-1*B504+1/EXP((Data!$K$58*2.54)*(Data!$V$60+Data!$V$61*($A504/1000)+Data!$V$62*($A504/1000)^2+Data!$V$63*($A504/1000)^3+Data!$V$64*($A504/1000)^4+Data!$V$65*($A504/1000)^5+Data!$V$66*($A504/1000)^6+Data!$V$67*($A504/1000)^7)))</f>
        <v>0.70353767887382113</v>
      </c>
    </row>
    <row r="505" spans="1:3" x14ac:dyDescent="0.3">
      <c r="A505">
        <f>27.318446*(29979200000/1000000000)</f>
        <v>818.98515632320004</v>
      </c>
      <c r="B505">
        <v>8.0000000000000004E-4</v>
      </c>
      <c r="C505">
        <f>(-1*B505+1/EXP((Data!$K$58*2.54)*(Data!$V$60+Data!$V$61*($A505/1000)+Data!$V$62*($A505/1000)^2+Data!$V$63*($A505/1000)^3+Data!$V$64*($A505/1000)^4+Data!$V$65*($A505/1000)^5+Data!$V$66*($A505/1000)^6+Data!$V$67*($A505/1000)^7)))</f>
        <v>0.70355624841211817</v>
      </c>
    </row>
    <row r="506" spans="1:3" x14ac:dyDescent="0.3">
      <c r="A506">
        <f>27.368849*(29979200000/1000000000)</f>
        <v>820.49619794080013</v>
      </c>
      <c r="B506">
        <v>5.1999999999999995E-4</v>
      </c>
      <c r="C506">
        <f>(-1*B506+1/EXP((Data!$K$58*2.54)*(Data!$V$60+Data!$V$61*($A506/1000)+Data!$V$62*($A506/1000)^2+Data!$V$63*($A506/1000)^3+Data!$V$64*($A506/1000)^4+Data!$V$65*($A506/1000)^5+Data!$V$66*($A506/1000)^6+Data!$V$67*($A506/1000)^7)))</f>
        <v>0.70366559390825278</v>
      </c>
    </row>
    <row r="507" spans="1:3" x14ac:dyDescent="0.3">
      <c r="A507">
        <f>27.419252*(29979200000/1000000000)</f>
        <v>822.0072395584001</v>
      </c>
      <c r="B507">
        <v>5.2999999999999998E-4</v>
      </c>
      <c r="C507">
        <f>(-1*B507+1/EXP((Data!$K$58*2.54)*(Data!$V$60+Data!$V$61*($A507/1000)+Data!$V$62*($A507/1000)^2+Data!$V$63*($A507/1000)^3+Data!$V$64*($A507/1000)^4+Data!$V$65*($A507/1000)^5+Data!$V$66*($A507/1000)^6+Data!$V$67*($A507/1000)^7)))</f>
        <v>0.70348571072916988</v>
      </c>
    </row>
    <row r="508" spans="1:3" x14ac:dyDescent="0.3">
      <c r="A508">
        <f>27.469655*(29979200000/1000000000)</f>
        <v>823.51828117600007</v>
      </c>
      <c r="B508">
        <v>4.6000000000000001E-4</v>
      </c>
      <c r="C508">
        <f>(-1*B508+1/EXP((Data!$K$58*2.54)*(Data!$V$60+Data!$V$61*($A508/1000)+Data!$V$62*($A508/1000)^2+Data!$V$63*($A508/1000)^3+Data!$V$64*($A508/1000)^4+Data!$V$65*($A508/1000)^5+Data!$V$66*($A508/1000)^6+Data!$V$67*($A508/1000)^7)))</f>
        <v>0.70338659424781291</v>
      </c>
    </row>
    <row r="509" spans="1:3" x14ac:dyDescent="0.3">
      <c r="A509">
        <f>27.520058*(29979200000/1000000000)</f>
        <v>825.02932279360004</v>
      </c>
      <c r="B509">
        <v>3.4000000000000002E-4</v>
      </c>
      <c r="C509">
        <f>(-1*B509+1/EXP((Data!$K$58*2.54)*(Data!$V$60+Data!$V$61*($A509/1000)+Data!$V$62*($A509/1000)^2+Data!$V$63*($A509/1000)^3+Data!$V$64*($A509/1000)^4+Data!$V$65*($A509/1000)^5+Data!$V$66*($A509/1000)^6+Data!$V$67*($A509/1000)^7)))</f>
        <v>0.70333823984313459</v>
      </c>
    </row>
    <row r="510" spans="1:3" x14ac:dyDescent="0.3">
      <c r="A510">
        <f>27.570461*(29979200000/1000000000)</f>
        <v>826.54036441120002</v>
      </c>
      <c r="B510">
        <v>3.8000000000000002E-4</v>
      </c>
      <c r="C510">
        <f>(-1*B510+1/EXP((Data!$K$58*2.54)*(Data!$V$60+Data!$V$61*($A510/1000)+Data!$V$62*($A510/1000)^2+Data!$V$63*($A510/1000)^3+Data!$V$64*($A510/1000)^4+Data!$V$65*($A510/1000)^5+Data!$V$66*($A510/1000)^6+Data!$V$67*($A510/1000)^7)))</f>
        <v>0.70313064290011151</v>
      </c>
    </row>
    <row r="511" spans="1:3" x14ac:dyDescent="0.3">
      <c r="A511">
        <f>27.620864*(29979200000/1000000000)</f>
        <v>828.0514060288001</v>
      </c>
      <c r="B511">
        <v>3.6999999999999999E-4</v>
      </c>
      <c r="C511">
        <f>(-1*B511+1/EXP((Data!$K$58*2.54)*(Data!$V$60+Data!$V$61*($A511/1000)+Data!$V$62*($A511/1000)^2+Data!$V$63*($A511/1000)^3+Data!$V$64*($A511/1000)^4+Data!$V$65*($A511/1000)^5+Data!$V$66*($A511/1000)^6+Data!$V$67*($A511/1000)^7)))</f>
        <v>0.70297379880975719</v>
      </c>
    </row>
    <row r="512" spans="1:3" x14ac:dyDescent="0.3">
      <c r="A512">
        <f>27.671267*(29979200000/1000000000)</f>
        <v>829.56244764640007</v>
      </c>
      <c r="B512">
        <v>3.8999999999999999E-4</v>
      </c>
      <c r="C512">
        <f>(-1*B512+1/EXP((Data!$K$58*2.54)*(Data!$V$60+Data!$V$61*($A512/1000)+Data!$V$62*($A512/1000)^2+Data!$V$63*($A512/1000)^3+Data!$V$64*($A512/1000)^4+Data!$V$65*($A512/1000)^5+Data!$V$66*($A512/1000)^6+Data!$V$67*($A512/1000)^7)))</f>
        <v>0.70278770296913473</v>
      </c>
    </row>
    <row r="513" spans="1:3" x14ac:dyDescent="0.3">
      <c r="A513">
        <f>27.72167*(29979200000/1000000000)</f>
        <v>831.07348926400005</v>
      </c>
      <c r="B513">
        <v>3.4000000000000002E-4</v>
      </c>
      <c r="C513">
        <f>(-1*B513+1/EXP((Data!$K$58*2.54)*(Data!$V$60+Data!$V$61*($A513/1000)+Data!$V$62*($A513/1000)^2+Data!$V$63*($A513/1000)^3+Data!$V$64*($A513/1000)^4+Data!$V$65*($A513/1000)^5+Data!$V$66*($A513/1000)^6+Data!$V$67*($A513/1000)^7)))</f>
        <v>0.70267235078137247</v>
      </c>
    </row>
    <row r="514" spans="1:3" x14ac:dyDescent="0.3">
      <c r="A514">
        <f>27.772073*(29979200000/1000000000)</f>
        <v>832.58453088160002</v>
      </c>
      <c r="B514">
        <v>1.7000000000000001E-4</v>
      </c>
      <c r="C514">
        <f>(-1*B514+1/EXP((Data!$K$58*2.54)*(Data!$V$60+Data!$V$61*($A514/1000)+Data!$V$62*($A514/1000)^2+Data!$V$63*($A514/1000)^3+Data!$V$64*($A514/1000)^4+Data!$V$65*($A514/1000)^5+Data!$V$66*($A514/1000)^6+Data!$V$67*($A514/1000)^7)))</f>
        <v>0.70267773765567709</v>
      </c>
    </row>
    <row r="515" spans="1:3" x14ac:dyDescent="0.3">
      <c r="A515">
        <f>27.822476*(29979200000/1000000000)</f>
        <v>834.09557249919999</v>
      </c>
      <c r="B515">
        <v>1.2E-4</v>
      </c>
      <c r="C515">
        <f>(-1*B515+1/EXP((Data!$K$58*2.54)*(Data!$V$60+Data!$V$61*($A515/1000)+Data!$V$62*($A515/1000)^2+Data!$V$63*($A515/1000)^3+Data!$V$64*($A515/1000)^4+Data!$V$65*($A515/1000)^5+Data!$V$66*($A515/1000)^6+Data!$V$67*($A515/1000)^7)))</f>
        <v>0.7025638590073483</v>
      </c>
    </row>
    <row r="516" spans="1:3" x14ac:dyDescent="0.3">
      <c r="A516">
        <f>27.872879*(29979200000/1000000000)</f>
        <v>835.60661411679996</v>
      </c>
      <c r="B516">
        <v>2.1000000000000001E-4</v>
      </c>
      <c r="C516">
        <f>(-1*B516+1/EXP((Data!$K$58*2.54)*(Data!$V$60+Data!$V$61*($A516/1000)+Data!$V$62*($A516/1000)^2+Data!$V$63*($A516/1000)^3+Data!$V$64*($A516/1000)^4+Data!$V$65*($A516/1000)^5+Data!$V$66*($A516/1000)^6+Data!$V$67*($A516/1000)^7)))</f>
        <v>0.70231071025779368</v>
      </c>
    </row>
    <row r="517" spans="1:3" x14ac:dyDescent="0.3">
      <c r="A517">
        <f>27.923282*(29979200000/1000000000)</f>
        <v>837.11765573440005</v>
      </c>
      <c r="B517">
        <v>2.2000000000000001E-4</v>
      </c>
      <c r="C517">
        <f>(-1*B517+1/EXP((Data!$K$58*2.54)*(Data!$V$60+Data!$V$61*($A517/1000)+Data!$V$62*($A517/1000)^2+Data!$V$63*($A517/1000)^3+Data!$V$64*($A517/1000)^4+Data!$V$65*($A517/1000)^5+Data!$V$66*($A517/1000)^6+Data!$V$67*($A517/1000)^7)))</f>
        <v>0.70213828683454427</v>
      </c>
    </row>
    <row r="518" spans="1:3" x14ac:dyDescent="0.3">
      <c r="A518">
        <f>27.973685*(29979200000/1000000000)</f>
        <v>838.62869735200002</v>
      </c>
      <c r="B518">
        <v>1.2999999999999999E-4</v>
      </c>
      <c r="C518">
        <f>(-1*B518+1/EXP((Data!$K$58*2.54)*(Data!$V$60+Data!$V$61*($A518/1000)+Data!$V$62*($A518/1000)^2+Data!$V$63*($A518/1000)^3+Data!$V$64*($A518/1000)^4+Data!$V$65*($A518/1000)^5+Data!$V$66*($A518/1000)^6+Data!$V$67*($A518/1000)^7)))</f>
        <v>0.7020665841712681</v>
      </c>
    </row>
    <row r="519" spans="1:3" x14ac:dyDescent="0.3">
      <c r="A519">
        <f>28.024088*(29979200000/1000000000)</f>
        <v>840.13973896959999</v>
      </c>
      <c r="B519">
        <v>1.1E-4</v>
      </c>
      <c r="C519">
        <f>(-1*B519+1/EXP((Data!$K$58*2.54)*(Data!$V$60+Data!$V$61*($A519/1000)+Data!$V$62*($A519/1000)^2+Data!$V$63*($A519/1000)^3+Data!$V$64*($A519/1000)^4+Data!$V$65*($A519/1000)^5+Data!$V$66*($A519/1000)^6+Data!$V$67*($A519/1000)^7)))</f>
        <v>0.70192559770778806</v>
      </c>
    </row>
    <row r="520" spans="1:3" x14ac:dyDescent="0.3">
      <c r="A520">
        <f>28.074491*(29979200000/1000000000)</f>
        <v>841.65078058720007</v>
      </c>
      <c r="B520">
        <v>2.5999999999999998E-4</v>
      </c>
      <c r="C520">
        <f>(-1*B520+1/EXP((Data!$K$58*2.54)*(Data!$V$60+Data!$V$61*($A520/1000)+Data!$V$62*($A520/1000)^2+Data!$V$63*($A520/1000)^3+Data!$V$64*($A520/1000)^4+Data!$V$65*($A520/1000)^5+Data!$V$66*($A520/1000)^6+Data!$V$67*($A520/1000)^7)))</f>
        <v>0.70161532289009609</v>
      </c>
    </row>
    <row r="521" spans="1:3" x14ac:dyDescent="0.3">
      <c r="A521">
        <f>28.124894*(29979200000/1000000000)</f>
        <v>843.16182220480005</v>
      </c>
      <c r="B521">
        <v>2.9E-4</v>
      </c>
      <c r="C521">
        <f>(-1*B521+1/EXP((Data!$K$58*2.54)*(Data!$V$60+Data!$V$61*($A521/1000)+Data!$V$62*($A521/1000)^2+Data!$V$63*($A521/1000)^3+Data!$V$64*($A521/1000)^4+Data!$V$65*($A521/1000)^5+Data!$V$66*($A521/1000)^6+Data!$V$67*($A521/1000)^7)))</f>
        <v>0.70142575517036976</v>
      </c>
    </row>
    <row r="522" spans="1:3" x14ac:dyDescent="0.3">
      <c r="A522">
        <f>28.175297*(29979200000/1000000000)</f>
        <v>844.67286382240013</v>
      </c>
      <c r="B522">
        <v>1.2E-4</v>
      </c>
      <c r="C522">
        <f>(-1*B522+1/EXP((Data!$K$58*2.54)*(Data!$V$60+Data!$V$61*($A522/1000)+Data!$V$62*($A522/1000)^2+Data!$V$63*($A522/1000)^3+Data!$V$64*($A522/1000)^4+Data!$V$65*($A522/1000)^5+Data!$V$66*($A522/1000)^6+Data!$V$67*($A522/1000)^7)))</f>
        <v>0.70143689000698906</v>
      </c>
    </row>
    <row r="523" spans="1:3" x14ac:dyDescent="0.3">
      <c r="A523">
        <f>28.2257*(29979200000/1000000000)</f>
        <v>846.1839054400001</v>
      </c>
      <c r="B523">
        <v>2.1000000000000001E-4</v>
      </c>
      <c r="C523">
        <f>(-1*B523+1/EXP((Data!$K$58*2.54)*(Data!$V$60+Data!$V$61*($A523/1000)+Data!$V$62*($A523/1000)^2+Data!$V$63*($A523/1000)^3+Data!$V$64*($A523/1000)^4+Data!$V$65*($A523/1000)^5+Data!$V$66*($A523/1000)^6+Data!$V$67*($A523/1000)^7)))</f>
        <v>0.70118872286455192</v>
      </c>
    </row>
    <row r="524" spans="1:3" x14ac:dyDescent="0.3">
      <c r="A524">
        <f>28.276103*(29979200000/1000000000)</f>
        <v>847.69494705760007</v>
      </c>
      <c r="B524">
        <v>3.1E-4</v>
      </c>
      <c r="C524">
        <f>(-1*B524+1/EXP((Data!$K$58*2.54)*(Data!$V$60+Data!$V$61*($A524/1000)+Data!$V$62*($A524/1000)^2+Data!$V$63*($A524/1000)^3+Data!$V$64*($A524/1000)^4+Data!$V$65*($A524/1000)^5+Data!$V$66*($A524/1000)^6+Data!$V$67*($A524/1000)^7)))</f>
        <v>0.70093124921389227</v>
      </c>
    </row>
    <row r="525" spans="1:3" x14ac:dyDescent="0.3">
      <c r="A525">
        <f>28.326506*(29979200000/1000000000)</f>
        <v>849.20598867520005</v>
      </c>
      <c r="B525">
        <v>3.5E-4</v>
      </c>
      <c r="C525">
        <f>(-1*B525+1/EXP((Data!$K$58*2.54)*(Data!$V$60+Data!$V$61*($A525/1000)+Data!$V$62*($A525/1000)^2+Data!$V$63*($A525/1000)^3+Data!$V$64*($A525/1000)^4+Data!$V$65*($A525/1000)^5+Data!$V$66*($A525/1000)^6+Data!$V$67*($A525/1000)^7)))</f>
        <v>0.70073446453209653</v>
      </c>
    </row>
    <row r="526" spans="1:3" x14ac:dyDescent="0.3">
      <c r="A526">
        <f>28.376909*(29979200000/1000000000)</f>
        <v>850.71703029280002</v>
      </c>
      <c r="B526">
        <v>3.8000000000000002E-4</v>
      </c>
      <c r="C526">
        <f>(-1*B526+1/EXP((Data!$K$58*2.54)*(Data!$V$60+Data!$V$61*($A526/1000)+Data!$V$62*($A526/1000)^2+Data!$V$63*($A526/1000)^3+Data!$V$64*($A526/1000)^4+Data!$V$65*($A526/1000)^5+Data!$V$66*($A526/1000)^6+Data!$V$67*($A526/1000)^7)))</f>
        <v>0.70054836430252132</v>
      </c>
    </row>
    <row r="527" spans="1:3" x14ac:dyDescent="0.3">
      <c r="A527">
        <f>28.427312*(29979200000/1000000000)</f>
        <v>852.2280719104001</v>
      </c>
      <c r="B527">
        <v>3.2000000000000003E-4</v>
      </c>
      <c r="C527">
        <f>(-1*B527+1/EXP((Data!$K$58*2.54)*(Data!$V$60+Data!$V$61*($A527/1000)+Data!$V$62*($A527/1000)^2+Data!$V$63*($A527/1000)^3+Data!$V$64*($A527/1000)^4+Data!$V$65*($A527/1000)^5+Data!$V$66*($A527/1000)^6+Data!$V$67*($A527/1000)^7)))</f>
        <v>0.70045294401481062</v>
      </c>
    </row>
    <row r="528" spans="1:3" x14ac:dyDescent="0.3">
      <c r="A528">
        <f>28.477715*(29979200000/1000000000)</f>
        <v>853.73911352800008</v>
      </c>
      <c r="B528">
        <v>8.0000000000000007E-5</v>
      </c>
      <c r="C528">
        <f>(-1*B528+1/EXP((Data!$K$58*2.54)*(Data!$V$60+Data!$V$61*($A528/1000)+Data!$V$62*($A528/1000)^2+Data!$V$63*($A528/1000)^3+Data!$V$64*($A528/1000)^4+Data!$V$65*($A528/1000)^5+Data!$V$66*($A528/1000)^6+Data!$V$67*($A528/1000)^7)))</f>
        <v>0.70053819916491489</v>
      </c>
    </row>
    <row r="529" spans="1:3" x14ac:dyDescent="0.3">
      <c r="A529">
        <f>28.528118*(29979200000/1000000000)</f>
        <v>855.25015514560005</v>
      </c>
      <c r="B529">
        <v>0</v>
      </c>
      <c r="C529">
        <f>(-1*B529+1/EXP((Data!$K$58*2.54)*(Data!$V$60+Data!$V$61*($A529/1000)+Data!$V$62*($A529/1000)^2+Data!$V$63*($A529/1000)^3+Data!$V$64*($A529/1000)^4+Data!$V$65*($A529/1000)^5+Data!$V$66*($A529/1000)^6+Data!$V$67*($A529/1000)^7)))</f>
        <v>0.70046412525510693</v>
      </c>
    </row>
    <row r="530" spans="1:3" x14ac:dyDescent="0.3">
      <c r="A530">
        <f>28.578521*(29979200000/1000000000)</f>
        <v>856.76119676320002</v>
      </c>
      <c r="B530">
        <v>9.0000000000000006E-5</v>
      </c>
      <c r="C530">
        <f>(-1*B530+1/EXP((Data!$K$58*2.54)*(Data!$V$60+Data!$V$61*($A530/1000)+Data!$V$62*($A530/1000)^2+Data!$V$63*($A530/1000)^3+Data!$V$64*($A530/1000)^4+Data!$V$65*($A530/1000)^5+Data!$V$66*($A530/1000)^6+Data!$V$67*($A530/1000)^7)))</f>
        <v>0.70022071779400319</v>
      </c>
    </row>
    <row r="531" spans="1:3" x14ac:dyDescent="0.3">
      <c r="A531">
        <f>28.628924*(29979200000/1000000000)</f>
        <v>858.27223838079999</v>
      </c>
      <c r="B531">
        <v>2.0000000000000002E-5</v>
      </c>
      <c r="C531">
        <f>(-1*B531+1/EXP((Data!$K$58*2.54)*(Data!$V$60+Data!$V$61*($A531/1000)+Data!$V$62*($A531/1000)^2+Data!$V$63*($A531/1000)^3+Data!$V$64*($A531/1000)^4+Data!$V$65*($A531/1000)^5+Data!$V$66*($A531/1000)^6+Data!$V$67*($A531/1000)^7)))</f>
        <v>0.70013797229658059</v>
      </c>
    </row>
    <row r="532" spans="1:3" x14ac:dyDescent="0.3">
      <c r="A532">
        <f>28.679327*(29979200000/1000000000)</f>
        <v>859.78327999840008</v>
      </c>
      <c r="B532">
        <v>3.0000000000000001E-5</v>
      </c>
      <c r="C532">
        <f>(-1*B532+1/EXP((Data!$K$58*2.54)*(Data!$V$60+Data!$V$61*($A532/1000)+Data!$V$62*($A532/1000)^2+Data!$V$63*($A532/1000)^3+Data!$V$64*($A532/1000)^4+Data!$V$65*($A532/1000)^5+Data!$V$66*($A532/1000)^6+Data!$V$67*($A532/1000)^7)))</f>
        <v>0.6999758842841961</v>
      </c>
    </row>
    <row r="533" spans="1:3" x14ac:dyDescent="0.3">
      <c r="A533">
        <f>28.72973*(29979200000/1000000000)</f>
        <v>861.29432161600005</v>
      </c>
      <c r="B533">
        <v>2.2000000000000001E-4</v>
      </c>
      <c r="C533">
        <f>(-1*B533+1/EXP((Data!$K$58*2.54)*(Data!$V$60+Data!$V$61*($A533/1000)+Data!$V$62*($A533/1000)^2+Data!$V$63*($A533/1000)^3+Data!$V$64*($A533/1000)^4+Data!$V$65*($A533/1000)^5+Data!$V$66*($A533/1000)^6+Data!$V$67*($A533/1000)^7)))</f>
        <v>0.6996344492846055</v>
      </c>
    </row>
    <row r="534" spans="1:3" x14ac:dyDescent="0.3">
      <c r="A534">
        <f>28.780133*(29979200000/1000000000)</f>
        <v>862.80536323360002</v>
      </c>
      <c r="B534">
        <v>2.1000000000000001E-4</v>
      </c>
      <c r="C534">
        <f>(-1*B534+1/EXP((Data!$K$58*2.54)*(Data!$V$60+Data!$V$61*($A534/1000)+Data!$V$62*($A534/1000)^2+Data!$V$63*($A534/1000)^3+Data!$V$64*($A534/1000)^4+Data!$V$65*($A534/1000)^5+Data!$V$66*($A534/1000)^6+Data!$V$67*($A534/1000)^7)))</f>
        <v>0.69949366283198378</v>
      </c>
    </row>
    <row r="535" spans="1:3" x14ac:dyDescent="0.3">
      <c r="A535">
        <f>28.830536*(29979200000/1000000000)</f>
        <v>864.31640485119999</v>
      </c>
      <c r="B535">
        <v>1.4999999999999999E-4</v>
      </c>
      <c r="C535">
        <f>(-1*B535+1/EXP((Data!$K$58*2.54)*(Data!$V$60+Data!$V$61*($A535/1000)+Data!$V$62*($A535/1000)^2+Data!$V$63*($A535/1000)^3+Data!$V$64*($A535/1000)^4+Data!$V$65*($A535/1000)^5+Data!$V$66*($A535/1000)^6+Data!$V$67*($A535/1000)^7)))</f>
        <v>0.69940352046694387</v>
      </c>
    </row>
    <row r="536" spans="1:3" x14ac:dyDescent="0.3">
      <c r="A536">
        <f>28.880939*(29979200000/1000000000)</f>
        <v>865.82744646879996</v>
      </c>
      <c r="B536">
        <v>2.5000000000000001E-4</v>
      </c>
      <c r="C536">
        <f>(-1*B536+1/EXP((Data!$K$58*2.54)*(Data!$V$60+Data!$V$61*($A536/1000)+Data!$V$62*($A536/1000)^2+Data!$V$63*($A536/1000)^3+Data!$V$64*($A536/1000)^4+Data!$V$65*($A536/1000)^5+Data!$V$66*($A536/1000)^6+Data!$V$67*($A536/1000)^7)))</f>
        <v>0.69915401773655728</v>
      </c>
    </row>
    <row r="537" spans="1:3" x14ac:dyDescent="0.3">
      <c r="A537">
        <f>28.931342*(29979200000/1000000000)</f>
        <v>867.33848808640005</v>
      </c>
      <c r="B537">
        <v>9.0000000000000006E-5</v>
      </c>
      <c r="C537">
        <f>(-1*B537+1/EXP((Data!$K$58*2.54)*(Data!$V$60+Data!$V$61*($A537/1000)+Data!$V$62*($A537/1000)^2+Data!$V$63*($A537/1000)^3+Data!$V$64*($A537/1000)^4+Data!$V$65*($A537/1000)^5+Data!$V$66*($A537/1000)^6+Data!$V$67*($A537/1000)^7)))</f>
        <v>0.69916515019437397</v>
      </c>
    </row>
    <row r="538" spans="1:3" x14ac:dyDescent="0.3">
      <c r="A538">
        <f>28.981745*(29979200000/1000000000)</f>
        <v>868.84952970400002</v>
      </c>
      <c r="B538">
        <v>8.0000000000000007E-5</v>
      </c>
      <c r="C538">
        <f>(-1*B538+1/EXP((Data!$K$58*2.54)*(Data!$V$60+Data!$V$61*($A538/1000)+Data!$V$62*($A538/1000)^2+Data!$V$63*($A538/1000)^3+Data!$V$64*($A538/1000)^4+Data!$V$65*($A538/1000)^5+Data!$V$66*($A538/1000)^6+Data!$V$67*($A538/1000)^7)))</f>
        <v>0.69902691340044321</v>
      </c>
    </row>
    <row r="539" spans="1:3" x14ac:dyDescent="0.3">
      <c r="A539">
        <f>29.032148*(29979200000/1000000000)</f>
        <v>870.3605713216001</v>
      </c>
      <c r="B539">
        <v>5.0000000000000002E-5</v>
      </c>
      <c r="C539">
        <f>(-1*B539+1/EXP((Data!$K$58*2.54)*(Data!$V$60+Data!$V$61*($A539/1000)+Data!$V$62*($A539/1000)^2+Data!$V$63*($A539/1000)^3+Data!$V$64*($A539/1000)^4+Data!$V$65*($A539/1000)^5+Data!$V$66*($A539/1000)^6+Data!$V$67*($A539/1000)^7)))</f>
        <v>0.69890930292133402</v>
      </c>
    </row>
    <row r="540" spans="1:3" x14ac:dyDescent="0.3">
      <c r="A540">
        <f>29.082551*(29979200000/1000000000)</f>
        <v>871.87161293920008</v>
      </c>
      <c r="B540">
        <v>1.0000000000000001E-5</v>
      </c>
      <c r="C540">
        <f>(-1*B540+1/EXP((Data!$K$58*2.54)*(Data!$V$60+Data!$V$61*($A540/1000)+Data!$V$62*($A540/1000)^2+Data!$V$63*($A540/1000)^3+Data!$V$64*($A540/1000)^4+Data!$V$65*($A540/1000)^5+Data!$V$66*($A540/1000)^6+Data!$V$67*($A540/1000)^7)))</f>
        <v>0.69880231433015638</v>
      </c>
    </row>
    <row r="541" spans="1:3" x14ac:dyDescent="0.3">
      <c r="A541">
        <f>29.132954*(29979200000/1000000000)</f>
        <v>873.38265455680005</v>
      </c>
      <c r="B541">
        <v>0</v>
      </c>
      <c r="C541">
        <f>(-1*B541+1/EXP((Data!$K$58*2.54)*(Data!$V$60+Data!$V$61*($A541/1000)+Data!$V$62*($A541/1000)^2+Data!$V$63*($A541/1000)^3+Data!$V$64*($A541/1000)^4+Data!$V$65*($A541/1000)^5+Data!$V$66*($A541/1000)^6+Data!$V$67*($A541/1000)^7)))</f>
        <v>0.69866594320658171</v>
      </c>
    </row>
    <row r="542" spans="1:3" x14ac:dyDescent="0.3">
      <c r="A542">
        <f>29.183357*(29979200000/1000000000)</f>
        <v>874.89369617440013</v>
      </c>
      <c r="B542">
        <v>2.0000000000000002E-5</v>
      </c>
      <c r="C542">
        <f>(-1*B542+1/EXP((Data!$K$58*2.54)*(Data!$V$60+Data!$V$61*($A542/1000)+Data!$V$62*($A542/1000)^2+Data!$V$63*($A542/1000)^3+Data!$V$64*($A542/1000)^4+Data!$V$65*($A542/1000)^5+Data!$V$66*($A542/1000)^6+Data!$V$67*($A542/1000)^7)))</f>
        <v>0.69850018513686618</v>
      </c>
    </row>
    <row r="543" spans="1:3" x14ac:dyDescent="0.3">
      <c r="A543">
        <f>29.23376*(29979200000/1000000000)</f>
        <v>876.40473779200011</v>
      </c>
      <c r="B543">
        <v>4.6999999999999999E-4</v>
      </c>
      <c r="C543">
        <f>(-1*B543+1/EXP((Data!$K$58*2.54)*(Data!$V$60+Data!$V$61*($A543/1000)+Data!$V$62*($A543/1000)^2+Data!$V$63*($A543/1000)^3+Data!$V$64*($A543/1000)^4+Data!$V$65*($A543/1000)^5+Data!$V$66*($A543/1000)^6+Data!$V$67*($A543/1000)^7)))</f>
        <v>0.69790503571387064</v>
      </c>
    </row>
    <row r="544" spans="1:3" x14ac:dyDescent="0.3">
      <c r="A544">
        <f>29.284163*(29979200000/1000000000)</f>
        <v>877.91577940960008</v>
      </c>
      <c r="B544">
        <v>4.8999999999999998E-4</v>
      </c>
      <c r="C544">
        <f>(-1*B544+1/EXP((Data!$K$58*2.54)*(Data!$V$60+Data!$V$61*($A544/1000)+Data!$V$62*($A544/1000)^2+Data!$V$63*($A544/1000)^3+Data!$V$64*($A544/1000)^4+Data!$V$65*($A544/1000)^5+Data!$V$66*($A544/1000)^6+Data!$V$67*($A544/1000)^7)))</f>
        <v>0.69774049053708309</v>
      </c>
    </row>
    <row r="545" spans="1:3" x14ac:dyDescent="0.3">
      <c r="A545">
        <f>29.334566*(29979200000/1000000000)</f>
        <v>879.42682102720005</v>
      </c>
      <c r="B545">
        <v>5.9000000000000003E-4</v>
      </c>
      <c r="C545">
        <f>(-1*B545+1/EXP((Data!$K$58*2.54)*(Data!$V$60+Data!$V$61*($A545/1000)+Data!$V$62*($A545/1000)^2+Data!$V$63*($A545/1000)^3+Data!$V$64*($A545/1000)^4+Data!$V$65*($A545/1000)^5+Data!$V$66*($A545/1000)^6+Data!$V$67*($A545/1000)^7)))</f>
        <v>0.69749654521264159</v>
      </c>
    </row>
    <row r="546" spans="1:3" x14ac:dyDescent="0.3">
      <c r="A546">
        <f>29.384969*(29979200000/1000000000)</f>
        <v>880.93786264480002</v>
      </c>
      <c r="B546">
        <v>4.8999999999999998E-4</v>
      </c>
      <c r="C546">
        <f>(-1*B546+1/EXP((Data!$K$58*2.54)*(Data!$V$60+Data!$V$61*($A546/1000)+Data!$V$62*($A546/1000)^2+Data!$V$63*($A546/1000)^3+Data!$V$64*($A546/1000)^4+Data!$V$65*($A546/1000)^5+Data!$V$66*($A546/1000)^6+Data!$V$67*($A546/1000)^7)))</f>
        <v>0.69745319535335626</v>
      </c>
    </row>
    <row r="547" spans="1:3" x14ac:dyDescent="0.3">
      <c r="A547">
        <f>29.435372*(29979200000/1000000000)</f>
        <v>882.44890426240011</v>
      </c>
      <c r="B547">
        <v>3.1E-4</v>
      </c>
      <c r="C547">
        <f>(-1*B547+1/EXP((Data!$K$58*2.54)*(Data!$V$60+Data!$V$61*($A547/1000)+Data!$V$62*($A547/1000)^2+Data!$V$63*($A547/1000)^3+Data!$V$64*($A547/1000)^4+Data!$V$65*($A547/1000)^5+Data!$V$66*($A547/1000)^6+Data!$V$67*($A547/1000)^7)))</f>
        <v>0.69749043657873167</v>
      </c>
    </row>
    <row r="548" spans="1:3" x14ac:dyDescent="0.3">
      <c r="A548">
        <f>29.485775*(29979200000/1000000000)</f>
        <v>883.95994588000008</v>
      </c>
      <c r="B548">
        <v>1.6000000000000001E-4</v>
      </c>
      <c r="C548">
        <f>(-1*B548+1/EXP((Data!$K$58*2.54)*(Data!$V$60+Data!$V$61*($A548/1000)+Data!$V$62*($A548/1000)^2+Data!$V$63*($A548/1000)^3+Data!$V$64*($A548/1000)^4+Data!$V$65*($A548/1000)^5+Data!$V$66*($A548/1000)^6+Data!$V$67*($A548/1000)^7)))</f>
        <v>0.69749826451499053</v>
      </c>
    </row>
    <row r="549" spans="1:3" x14ac:dyDescent="0.3">
      <c r="A549">
        <f>29.536178*(29979200000/1000000000)</f>
        <v>885.47098749760005</v>
      </c>
      <c r="B549">
        <v>0</v>
      </c>
      <c r="C549">
        <f>(-1*B549+1/EXP((Data!$K$58*2.54)*(Data!$V$60+Data!$V$61*($A549/1000)+Data!$V$62*($A549/1000)^2+Data!$V$63*($A549/1000)^3+Data!$V$64*($A549/1000)^4+Data!$V$65*($A549/1000)^5+Data!$V$66*($A549/1000)^6+Data!$V$67*($A549/1000)^7)))</f>
        <v>0.6975166747950966</v>
      </c>
    </row>
    <row r="550" spans="1:3" x14ac:dyDescent="0.3">
      <c r="A550">
        <f>29.586581*(29979200000/1000000000)</f>
        <v>886.98202911520002</v>
      </c>
      <c r="B550">
        <v>2.5000000000000001E-4</v>
      </c>
      <c r="C550">
        <f>(-1*B550+1/EXP((Data!$K$58*2.54)*(Data!$V$60+Data!$V$61*($A550/1000)+Data!$V$62*($A550/1000)^2+Data!$V$63*($A550/1000)^3+Data!$V$64*($A550/1000)^4+Data!$V$65*($A550/1000)^5+Data!$V$66*($A550/1000)^6+Data!$V$67*($A550/1000)^7)))</f>
        <v>0.69712566305877799</v>
      </c>
    </row>
    <row r="551" spans="1:3" x14ac:dyDescent="0.3">
      <c r="A551">
        <f>29.636984*(29979200000/1000000000)</f>
        <v>888.49307073279999</v>
      </c>
      <c r="B551">
        <v>5.2999999999999998E-4</v>
      </c>
      <c r="C551">
        <f>(-1*B551+1/EXP((Data!$K$58*2.54)*(Data!$V$60+Data!$V$61*($A551/1000)+Data!$V$62*($A551/1000)^2+Data!$V$63*($A551/1000)^3+Data!$V$64*($A551/1000)^4+Data!$V$65*($A551/1000)^5+Data!$V$66*($A551/1000)^6+Data!$V$67*($A551/1000)^7)))</f>
        <v>0.69670522495255105</v>
      </c>
    </row>
    <row r="552" spans="1:3" x14ac:dyDescent="0.3">
      <c r="A552">
        <f>29.687387*(29979200000/1000000000)</f>
        <v>890.00411235040008</v>
      </c>
      <c r="B552">
        <v>2.5999999999999998E-4</v>
      </c>
      <c r="C552">
        <f>(-1*B552+1/EXP((Data!$K$58*2.54)*(Data!$V$60+Data!$V$61*($A552/1000)+Data!$V$62*($A552/1000)^2+Data!$V$63*($A552/1000)^3+Data!$V$64*($A552/1000)^4+Data!$V$65*($A552/1000)^5+Data!$V$66*($A552/1000)^6+Data!$V$67*($A552/1000)^7)))</f>
        <v>0.69683535612974457</v>
      </c>
    </row>
    <row r="553" spans="1:3" x14ac:dyDescent="0.3">
      <c r="A553">
        <f>29.73779*(29979200000/1000000000)</f>
        <v>891.51515396800005</v>
      </c>
      <c r="B553">
        <v>4.0000000000000003E-5</v>
      </c>
      <c r="C553">
        <f>(-1*B553+1/EXP((Data!$K$58*2.54)*(Data!$V$60+Data!$V$61*($A553/1000)+Data!$V$62*($A553/1000)^2+Data!$V$63*($A553/1000)^3+Data!$V$64*($A553/1000)^4+Data!$V$65*($A553/1000)^5+Data!$V$66*($A553/1000)^6+Data!$V$67*($A553/1000)^7)))</f>
        <v>0.69691605225052322</v>
      </c>
    </row>
    <row r="554" spans="1:3" x14ac:dyDescent="0.3">
      <c r="A554">
        <f>29.788193*(29979200000/1000000000)</f>
        <v>893.02619558560002</v>
      </c>
      <c r="B554">
        <v>1.2999999999999999E-4</v>
      </c>
      <c r="C554">
        <f>(-1*B554+1/EXP((Data!$K$58*2.54)*(Data!$V$60+Data!$V$61*($A554/1000)+Data!$V$62*($A554/1000)^2+Data!$V$63*($A554/1000)^3+Data!$V$64*($A554/1000)^4+Data!$V$65*($A554/1000)^5+Data!$V$66*($A554/1000)^6+Data!$V$67*($A554/1000)^7)))</f>
        <v>0.69668730898191322</v>
      </c>
    </row>
    <row r="555" spans="1:3" x14ac:dyDescent="0.3">
      <c r="A555">
        <f>29.838596*(29979200000/1000000000)</f>
        <v>894.53723720319999</v>
      </c>
      <c r="B555">
        <v>2.9E-4</v>
      </c>
      <c r="C555">
        <f>(-1*B555+1/EXP((Data!$K$58*2.54)*(Data!$V$60+Data!$V$61*($A555/1000)+Data!$V$62*($A555/1000)^2+Data!$V$63*($A555/1000)^3+Data!$V$64*($A555/1000)^4+Data!$V$65*($A555/1000)^5+Data!$V$66*($A555/1000)^6+Data!$V$67*($A555/1000)^7)))</f>
        <v>0.69638912199782554</v>
      </c>
    </row>
    <row r="556" spans="1:3" x14ac:dyDescent="0.3">
      <c r="A556">
        <f>29.888999*(29979200000/1000000000)</f>
        <v>896.04827882079996</v>
      </c>
      <c r="B556">
        <v>5.5999999999999995E-4</v>
      </c>
      <c r="C556">
        <f>(-1*B556+1/EXP((Data!$K$58*2.54)*(Data!$V$60+Data!$V$61*($A556/1000)+Data!$V$62*($A556/1000)^2+Data!$V$63*($A556/1000)^3+Data!$V$64*($A556/1000)^4+Data!$V$65*($A556/1000)^5+Data!$V$66*($A556/1000)^6+Data!$V$67*($A556/1000)^7)))</f>
        <v>0.6959814869790818</v>
      </c>
    </row>
    <row r="557" spans="1:3" x14ac:dyDescent="0.3">
      <c r="A557">
        <f>29.939402*(29979200000/1000000000)</f>
        <v>897.55932043840005</v>
      </c>
      <c r="B557">
        <v>6.4000000000000005E-4</v>
      </c>
      <c r="C557">
        <f>(-1*B557+1/EXP((Data!$K$58*2.54)*(Data!$V$60+Data!$V$61*($A557/1000)+Data!$V$62*($A557/1000)^2+Data!$V$63*($A557/1000)^3+Data!$V$64*($A557/1000)^4+Data!$V$65*($A557/1000)^5+Data!$V$66*($A557/1000)^6+Data!$V$67*($A557/1000)^7)))</f>
        <v>0.69576439961343906</v>
      </c>
    </row>
    <row r="558" spans="1:3" x14ac:dyDescent="0.3">
      <c r="A558">
        <f>29.989805*(29979200000/1000000000)</f>
        <v>899.07036205600014</v>
      </c>
      <c r="B558">
        <v>2.5000000000000001E-4</v>
      </c>
      <c r="C558">
        <f>(-1*B558+1/EXP((Data!$K$58*2.54)*(Data!$V$60+Data!$V$61*($A558/1000)+Data!$V$62*($A558/1000)^2+Data!$V$63*($A558/1000)^3+Data!$V$64*($A558/1000)^4+Data!$V$65*($A558/1000)^5+Data!$V$66*($A558/1000)^6+Data!$V$67*($A558/1000)^7)))</f>
        <v>0.6960178555956158</v>
      </c>
    </row>
    <row r="559" spans="1:3" x14ac:dyDescent="0.3">
      <c r="A559">
        <f>30.040208*(29979200000/1000000000)</f>
        <v>900.58140367360011</v>
      </c>
      <c r="B559">
        <v>3.2000000000000003E-4</v>
      </c>
      <c r="C559">
        <f>(-1*B559+1/EXP((Data!$K$58*2.54)*(Data!$V$60+Data!$V$61*($A559/1000)+Data!$V$62*($A559/1000)^2+Data!$V$63*($A559/1000)^3+Data!$V$64*($A559/1000)^4+Data!$V$65*($A559/1000)^5+Data!$V$66*($A559/1000)^6+Data!$V$67*($A559/1000)^7)))</f>
        <v>0.69581185062731632</v>
      </c>
    </row>
    <row r="560" spans="1:3" x14ac:dyDescent="0.3">
      <c r="A560">
        <f>30.090611*(29979200000/1000000000)</f>
        <v>902.09244529120008</v>
      </c>
      <c r="B560">
        <v>3.5E-4</v>
      </c>
      <c r="C560">
        <f>(-1*B560+1/EXP((Data!$K$58*2.54)*(Data!$V$60+Data!$V$61*($A560/1000)+Data!$V$62*($A560/1000)^2+Data!$V$63*($A560/1000)^3+Data!$V$64*($A560/1000)^4+Data!$V$65*($A560/1000)^5+Data!$V$66*($A560/1000)^6+Data!$V$67*($A560/1000)^7)))</f>
        <v>0.69564638041725779</v>
      </c>
    </row>
    <row r="561" spans="1:3" x14ac:dyDescent="0.3">
      <c r="A561">
        <f>30.141014*(29979200000/1000000000)</f>
        <v>903.60348690880005</v>
      </c>
      <c r="B561">
        <v>2.7E-4</v>
      </c>
      <c r="C561">
        <f>(-1*B561+1/EXP((Data!$K$58*2.54)*(Data!$V$60+Data!$V$61*($A561/1000)+Data!$V$62*($A561/1000)^2+Data!$V$63*($A561/1000)^3+Data!$V$64*($A561/1000)^4+Data!$V$65*($A561/1000)^5+Data!$V$66*($A561/1000)^6+Data!$V$67*($A561/1000)^7)))</f>
        <v>0.69559144068119561</v>
      </c>
    </row>
    <row r="562" spans="1:3" x14ac:dyDescent="0.3">
      <c r="A562">
        <f>30.191417*(29979200000/1000000000)</f>
        <v>905.11452852640002</v>
      </c>
      <c r="B562">
        <v>4.0999999999999999E-4</v>
      </c>
      <c r="C562">
        <f>(-1*B562+1/EXP((Data!$K$58*2.54)*(Data!$V$60+Data!$V$61*($A562/1000)+Data!$V$62*($A562/1000)^2+Data!$V$63*($A562/1000)^3+Data!$V$64*($A562/1000)^4+Data!$V$65*($A562/1000)^5+Data!$V$66*($A562/1000)^6+Data!$V$67*($A562/1000)^7)))</f>
        <v>0.69531702714194987</v>
      </c>
    </row>
    <row r="563" spans="1:3" x14ac:dyDescent="0.3">
      <c r="A563">
        <f>30.24182*(29979200000/1000000000)</f>
        <v>906.62557014400011</v>
      </c>
      <c r="B563">
        <v>0</v>
      </c>
      <c r="C563">
        <f>(-1*B563+1/EXP((Data!$K$58*2.54)*(Data!$V$60+Data!$V$61*($A563/1000)+Data!$V$62*($A563/1000)^2+Data!$V$63*($A563/1000)^3+Data!$V$64*($A563/1000)^4+Data!$V$65*($A563/1000)^5+Data!$V$66*($A563/1000)^6+Data!$V$67*($A563/1000)^7)))</f>
        <v>0.69559313552943247</v>
      </c>
    </row>
    <row r="564" spans="1:3" x14ac:dyDescent="0.3">
      <c r="A564">
        <f>30.292223*(29979200000/1000000000)</f>
        <v>908.13661176160008</v>
      </c>
      <c r="B564">
        <v>0</v>
      </c>
      <c r="C564">
        <f>(-1*B564+1/EXP((Data!$K$58*2.54)*(Data!$V$60+Data!$V$61*($A564/1000)+Data!$V$62*($A564/1000)^2+Data!$V$63*($A564/1000)^3+Data!$V$64*($A564/1000)^4+Data!$V$65*($A564/1000)^5+Data!$V$66*($A564/1000)^6+Data!$V$67*($A564/1000)^7)))</f>
        <v>0.69545976158067235</v>
      </c>
    </row>
    <row r="565" spans="1:3" x14ac:dyDescent="0.3">
      <c r="A565">
        <f>30.342626*(29979200000/1000000000)</f>
        <v>909.64765337920005</v>
      </c>
      <c r="B565">
        <v>2.2000000000000001E-4</v>
      </c>
      <c r="C565">
        <f>(-1*B565+1/EXP((Data!$K$58*2.54)*(Data!$V$60+Data!$V$61*($A565/1000)+Data!$V$62*($A565/1000)^2+Data!$V$63*($A565/1000)^3+Data!$V$64*($A565/1000)^4+Data!$V$65*($A565/1000)^5+Data!$V$66*($A565/1000)^6+Data!$V$67*($A565/1000)^7)))</f>
        <v>0.69510690103984452</v>
      </c>
    </row>
    <row r="566" spans="1:3" x14ac:dyDescent="0.3">
      <c r="A566">
        <f>30.393029*(29979200000/1000000000)</f>
        <v>911.15869499680002</v>
      </c>
      <c r="B566">
        <v>4.6000000000000001E-4</v>
      </c>
      <c r="C566">
        <f>(-1*B566+1/EXP((Data!$K$58*2.54)*(Data!$V$60+Data!$V$61*($A566/1000)+Data!$V$62*($A566/1000)^2+Data!$V$63*($A566/1000)^3+Data!$V$64*($A566/1000)^4+Data!$V$65*($A566/1000)^5+Data!$V$66*($A566/1000)^6+Data!$V$67*($A566/1000)^7)))</f>
        <v>0.69473454965829617</v>
      </c>
    </row>
    <row r="567" spans="1:3" x14ac:dyDescent="0.3">
      <c r="A567">
        <f>30.443432*(29979200000/1000000000)</f>
        <v>912.66973661439999</v>
      </c>
      <c r="B567">
        <v>6.8000000000000005E-4</v>
      </c>
      <c r="C567">
        <f>(-1*B567+1/EXP((Data!$K$58*2.54)*(Data!$V$60+Data!$V$61*($A567/1000)+Data!$V$62*($A567/1000)^2+Data!$V$63*($A567/1000)^3+Data!$V$64*($A567/1000)^4+Data!$V$65*($A567/1000)^5+Data!$V$66*($A567/1000)^6+Data!$V$67*($A567/1000)^7)))</f>
        <v>0.69438270319457329</v>
      </c>
    </row>
    <row r="568" spans="1:3" x14ac:dyDescent="0.3">
      <c r="A568">
        <f>30.493835*(29979200000/1000000000)</f>
        <v>914.18077823200008</v>
      </c>
      <c r="B568">
        <v>3.3E-4</v>
      </c>
      <c r="C568">
        <f>(-1*B568+1/EXP((Data!$K$58*2.54)*(Data!$V$60+Data!$V$61*($A568/1000)+Data!$V$62*($A568/1000)^2+Data!$V$63*($A568/1000)^3+Data!$V$64*($A568/1000)^4+Data!$V$65*($A568/1000)^5+Data!$V$66*($A568/1000)^6+Data!$V$67*($A568/1000)^7)))</f>
        <v>0.69460135741445039</v>
      </c>
    </row>
    <row r="569" spans="1:3" x14ac:dyDescent="0.3">
      <c r="A569">
        <f>30.544238*(29979200000/1000000000)</f>
        <v>915.69181984960005</v>
      </c>
      <c r="B569">
        <v>3.6000000000000002E-4</v>
      </c>
      <c r="C569">
        <f>(-1*B569+1/EXP((Data!$K$58*2.54)*(Data!$V$60+Data!$V$61*($A569/1000)+Data!$V$62*($A569/1000)^2+Data!$V$63*($A569/1000)^3+Data!$V$64*($A569/1000)^4+Data!$V$65*($A569/1000)^5+Data!$V$66*($A569/1000)^6+Data!$V$67*($A569/1000)^7)))</f>
        <v>0.6944405080909567</v>
      </c>
    </row>
    <row r="570" spans="1:3" x14ac:dyDescent="0.3">
      <c r="A570">
        <f>30.594641*(29979200000/1000000000)</f>
        <v>917.20286146720002</v>
      </c>
      <c r="B570">
        <v>2.1000000000000001E-4</v>
      </c>
      <c r="C570">
        <f>(-1*B570+1/EXP((Data!$K$58*2.54)*(Data!$V$60+Data!$V$61*($A570/1000)+Data!$V$62*($A570/1000)^2+Data!$V$63*($A570/1000)^3+Data!$V$64*($A570/1000)^4+Data!$V$65*($A570/1000)^5+Data!$V$66*($A570/1000)^6+Data!$V$67*($A570/1000)^7)))</f>
        <v>0.69446015100440506</v>
      </c>
    </row>
    <row r="571" spans="1:3" x14ac:dyDescent="0.3">
      <c r="A571">
        <f>30.645044*(29979200000/1000000000)</f>
        <v>918.71390308479999</v>
      </c>
      <c r="B571">
        <v>0</v>
      </c>
      <c r="C571">
        <f>(-1*B571+1/EXP((Data!$K$58*2.54)*(Data!$V$60+Data!$V$61*($A571/1000)+Data!$V$62*($A571/1000)^2+Data!$V$63*($A571/1000)^3+Data!$V$64*($A571/1000)^4+Data!$V$65*($A571/1000)^5+Data!$V$66*($A571/1000)^6+Data!$V$67*($A571/1000)^7)))</f>
        <v>0.69454028194241968</v>
      </c>
    </row>
    <row r="572" spans="1:3" x14ac:dyDescent="0.3">
      <c r="A572">
        <f>30.695447*(29979200000/1000000000)</f>
        <v>920.22494470239997</v>
      </c>
      <c r="B572">
        <v>1.6000000000000001E-4</v>
      </c>
      <c r="C572">
        <f>(-1*B572+1/EXP((Data!$K$58*2.54)*(Data!$V$60+Data!$V$61*($A572/1000)+Data!$V$62*($A572/1000)^2+Data!$V$63*($A572/1000)^3+Data!$V$64*($A572/1000)^4+Data!$V$65*($A572/1000)^5+Data!$V$66*($A572/1000)^6+Data!$V$67*($A572/1000)^7)))</f>
        <v>0.69425089669996565</v>
      </c>
    </row>
    <row r="573" spans="1:3" x14ac:dyDescent="0.3">
      <c r="A573">
        <f>30.74585*(29979200000/1000000000)</f>
        <v>921.73598632000005</v>
      </c>
      <c r="B573">
        <v>6.3000000000000003E-4</v>
      </c>
      <c r="C573">
        <f>(-1*B573+1/EXP((Data!$K$58*2.54)*(Data!$V$60+Data!$V$61*($A573/1000)+Data!$V$62*($A573/1000)^2+Data!$V$63*($A573/1000)^3+Data!$V$64*($A573/1000)^4+Data!$V$65*($A573/1000)^5+Data!$V$66*($A573/1000)^6+Data!$V$67*($A573/1000)^7)))</f>
        <v>0.69365199107937681</v>
      </c>
    </row>
    <row r="574" spans="1:3" x14ac:dyDescent="0.3">
      <c r="A574">
        <f>30.796253*(29979200000/1000000000)</f>
        <v>923.24702793760002</v>
      </c>
      <c r="B574">
        <v>3.2000000000000003E-4</v>
      </c>
      <c r="C574">
        <f>(-1*B574+1/EXP((Data!$K$58*2.54)*(Data!$V$60+Data!$V$61*($A574/1000)+Data!$V$62*($A574/1000)^2+Data!$V$63*($A574/1000)^3+Data!$V$64*($A574/1000)^4+Data!$V$65*($A574/1000)^5+Data!$V$66*($A574/1000)^6+Data!$V$67*($A574/1000)^7)))</f>
        <v>0.69383356089038495</v>
      </c>
    </row>
    <row r="575" spans="1:3" x14ac:dyDescent="0.3">
      <c r="A575">
        <f>30.846656*(29979200000/1000000000)</f>
        <v>924.7580695552</v>
      </c>
      <c r="B575">
        <v>6.0000000000000002E-5</v>
      </c>
      <c r="C575">
        <f>(-1*B575+1/EXP((Data!$K$58*2.54)*(Data!$V$60+Data!$V$61*($A575/1000)+Data!$V$62*($A575/1000)^2+Data!$V$63*($A575/1000)^3+Data!$V$64*($A575/1000)^4+Data!$V$65*($A575/1000)^5+Data!$V$66*($A575/1000)^6+Data!$V$67*($A575/1000)^7)))</f>
        <v>0.69396560195014956</v>
      </c>
    </row>
    <row r="576" spans="1:3" x14ac:dyDescent="0.3">
      <c r="A576">
        <f>30.897059*(29979200000/1000000000)</f>
        <v>926.26911117280008</v>
      </c>
      <c r="B576">
        <v>1.6000000000000001E-4</v>
      </c>
      <c r="C576">
        <f>(-1*B576+1/EXP((Data!$K$58*2.54)*(Data!$V$60+Data!$V$61*($A576/1000)+Data!$V$62*($A576/1000)^2+Data!$V$63*($A576/1000)^3+Data!$V$64*($A576/1000)^4+Data!$V$65*($A576/1000)^5+Data!$V$66*($A576/1000)^6+Data!$V$67*($A576/1000)^7)))</f>
        <v>0.69373811008328612</v>
      </c>
    </row>
    <row r="577" spans="1:3" x14ac:dyDescent="0.3">
      <c r="A577">
        <f>30.947462*(29979200000/1000000000)</f>
        <v>927.78015279040005</v>
      </c>
      <c r="B577">
        <v>4.4000000000000002E-4</v>
      </c>
      <c r="C577">
        <f>(-1*B577+1/EXP((Data!$K$58*2.54)*(Data!$V$60+Data!$V$61*($A577/1000)+Data!$V$62*($A577/1000)^2+Data!$V$63*($A577/1000)^3+Data!$V$64*($A577/1000)^4+Data!$V$65*($A577/1000)^5+Data!$V$66*($A577/1000)^6+Data!$V$67*($A577/1000)^7)))</f>
        <v>0.69333108112189723</v>
      </c>
    </row>
    <row r="578" spans="1:3" x14ac:dyDescent="0.3">
      <c r="A578">
        <f>30.997865*(29979200000/1000000000)</f>
        <v>929.29119440800014</v>
      </c>
      <c r="B578">
        <v>6.3000000000000003E-4</v>
      </c>
      <c r="C578">
        <f>(-1*B578+1/EXP((Data!$K$58*2.54)*(Data!$V$60+Data!$V$61*($A578/1000)+Data!$V$62*($A578/1000)^2+Data!$V$63*($A578/1000)^3+Data!$V$64*($A578/1000)^4+Data!$V$65*($A578/1000)^5+Data!$V$66*($A578/1000)^6+Data!$V$67*($A578/1000)^7)))</f>
        <v>0.69301451090560118</v>
      </c>
    </row>
    <row r="579" spans="1:3" x14ac:dyDescent="0.3">
      <c r="A579">
        <f>31.048268*(29979200000/1000000000)</f>
        <v>930.80223602560011</v>
      </c>
      <c r="B579">
        <v>4.6000000000000001E-4</v>
      </c>
      <c r="C579">
        <f>(-1*B579+1/EXP((Data!$K$58*2.54)*(Data!$V$60+Data!$V$61*($A579/1000)+Data!$V$62*($A579/1000)^2+Data!$V$63*($A579/1000)^3+Data!$V$64*($A579/1000)^4+Data!$V$65*($A579/1000)^5+Data!$V$66*($A579/1000)^6+Data!$V$67*($A579/1000)^7)))</f>
        <v>0.69305839528156243</v>
      </c>
    </row>
    <row r="580" spans="1:3" x14ac:dyDescent="0.3">
      <c r="A580">
        <f>31.098671*(29979200000/1000000000)</f>
        <v>932.31327764320008</v>
      </c>
      <c r="B580">
        <v>4.2999999999999999E-4</v>
      </c>
      <c r="C580">
        <f>(-1*B580+1/EXP((Data!$K$58*2.54)*(Data!$V$60+Data!$V$61*($A580/1000)+Data!$V$62*($A580/1000)^2+Data!$V$63*($A580/1000)^3+Data!$V$64*($A580/1000)^4+Data!$V$65*($A580/1000)^5+Data!$V$66*($A580/1000)^6+Data!$V$67*($A580/1000)^7)))</f>
        <v>0.69296273010452225</v>
      </c>
    </row>
    <row r="581" spans="1:3" x14ac:dyDescent="0.3">
      <c r="A581">
        <f>31.149074*(29979200000/1000000000)</f>
        <v>933.82431926080005</v>
      </c>
      <c r="B581">
        <v>1.9000000000000001E-4</v>
      </c>
      <c r="C581">
        <f>(-1*B581+1/EXP((Data!$K$58*2.54)*(Data!$V$60+Data!$V$61*($A581/1000)+Data!$V$62*($A581/1000)^2+Data!$V$63*($A581/1000)^3+Data!$V$64*($A581/1000)^4+Data!$V$65*($A581/1000)^5+Data!$V$66*($A581/1000)^6+Data!$V$67*($A581/1000)^7)))</f>
        <v>0.69307751123682892</v>
      </c>
    </row>
    <row r="582" spans="1:3" x14ac:dyDescent="0.3">
      <c r="A582">
        <f>31.199477*(29979200000/1000000000)</f>
        <v>935.33536087840002</v>
      </c>
      <c r="B582">
        <v>2.9E-4</v>
      </c>
      <c r="C582">
        <f>(-1*B582+1/EXP((Data!$K$58*2.54)*(Data!$V$60+Data!$V$61*($A582/1000)+Data!$V$62*($A582/1000)^2+Data!$V$63*($A582/1000)^3+Data!$V$64*($A582/1000)^4+Data!$V$65*($A582/1000)^5+Data!$V$66*($A582/1000)^6+Data!$V$67*($A582/1000)^7)))</f>
        <v>0.69285273454846763</v>
      </c>
    </row>
    <row r="583" spans="1:3" x14ac:dyDescent="0.3">
      <c r="A583">
        <f>31.24988*(29979200000/1000000000)</f>
        <v>936.84640249600011</v>
      </c>
      <c r="B583">
        <v>3.8000000000000002E-4</v>
      </c>
      <c r="C583">
        <f>(-1*B583+1/EXP((Data!$K$58*2.54)*(Data!$V$60+Data!$V$61*($A583/1000)+Data!$V$62*($A583/1000)^2+Data!$V$63*($A583/1000)^3+Data!$V$64*($A583/1000)^4+Data!$V$65*($A583/1000)^5+Data!$V$66*($A583/1000)^6+Data!$V$67*($A583/1000)^7)))</f>
        <v>0.69263839591709309</v>
      </c>
    </row>
    <row r="584" spans="1:3" x14ac:dyDescent="0.3">
      <c r="A584">
        <f>31.300283*(29979200000/1000000000)</f>
        <v>938.35744411360008</v>
      </c>
      <c r="B584">
        <v>2.7E-4</v>
      </c>
      <c r="C584">
        <f>(-1*B584+1/EXP((Data!$K$58*2.54)*(Data!$V$60+Data!$V$61*($A584/1000)+Data!$V$62*($A584/1000)^2+Data!$V$63*($A584/1000)^3+Data!$V$64*($A584/1000)^4+Data!$V$65*($A584/1000)^5+Data!$V$66*($A584/1000)^6+Data!$V$67*($A584/1000)^7)))</f>
        <v>0.6926244912280588</v>
      </c>
    </row>
    <row r="585" spans="1:3" x14ac:dyDescent="0.3">
      <c r="A585">
        <f>31.350686*(29979200000/1000000000)</f>
        <v>939.86848573120005</v>
      </c>
      <c r="B585">
        <v>4.2000000000000002E-4</v>
      </c>
      <c r="C585">
        <f>(-1*B585+1/EXP((Data!$K$58*2.54)*(Data!$V$60+Data!$V$61*($A585/1000)+Data!$V$62*($A585/1000)^2+Data!$V$63*($A585/1000)^3+Data!$V$64*($A585/1000)^4+Data!$V$65*($A585/1000)^5+Data!$V$66*($A585/1000)^6+Data!$V$67*($A585/1000)^7)))</f>
        <v>0.69235101637444962</v>
      </c>
    </row>
    <row r="586" spans="1:3" x14ac:dyDescent="0.3">
      <c r="A586">
        <f>31.401089*(29979200000/1000000000)</f>
        <v>941.37952734880002</v>
      </c>
      <c r="B586">
        <v>4.4999999999999999E-4</v>
      </c>
      <c r="C586">
        <f>(-1*B586+1/EXP((Data!$K$58*2.54)*(Data!$V$60+Data!$V$61*($A586/1000)+Data!$V$62*($A586/1000)^2+Data!$V$63*($A586/1000)^3+Data!$V$64*($A586/1000)^4+Data!$V$65*($A586/1000)^5+Data!$V$66*($A586/1000)^6+Data!$V$67*($A586/1000)^7)))</f>
        <v>0.69219796725711247</v>
      </c>
    </row>
    <row r="587" spans="1:3" x14ac:dyDescent="0.3">
      <c r="A587">
        <f>31.451492*(29979200000/1000000000)</f>
        <v>942.8905689664</v>
      </c>
      <c r="B587">
        <v>4.2000000000000002E-4</v>
      </c>
      <c r="C587">
        <f>(-1*B587+1/EXP((Data!$K$58*2.54)*(Data!$V$60+Data!$V$61*($A587/1000)+Data!$V$62*($A587/1000)^2+Data!$V$63*($A587/1000)^3+Data!$V$64*($A587/1000)^4+Data!$V$65*($A587/1000)^5+Data!$V$66*($A587/1000)^6+Data!$V$67*($A587/1000)^7)))</f>
        <v>0.69210533978468891</v>
      </c>
    </row>
    <row r="588" spans="1:3" x14ac:dyDescent="0.3">
      <c r="A588">
        <f>31.501895*(29979200000/1000000000)</f>
        <v>944.40161058400008</v>
      </c>
      <c r="B588">
        <v>2.7E-4</v>
      </c>
      <c r="C588">
        <f>(-1*B588+1/EXP((Data!$K$58*2.54)*(Data!$V$60+Data!$V$61*($A588/1000)+Data!$V$62*($A588/1000)^2+Data!$V$63*($A588/1000)^3+Data!$V$64*($A588/1000)^4+Data!$V$65*($A588/1000)^5+Data!$V$66*($A588/1000)^6+Data!$V$67*($A588/1000)^7)))</f>
        <v>0.69213312987364595</v>
      </c>
    </row>
    <row r="589" spans="1:3" x14ac:dyDescent="0.3">
      <c r="A589">
        <f>31.552298*(29979200000/1000000000)</f>
        <v>945.91265220160005</v>
      </c>
      <c r="B589">
        <v>0</v>
      </c>
      <c r="C589">
        <f>(-1*B589+1/EXP((Data!$K$58*2.54)*(Data!$V$60+Data!$V$61*($A589/1000)+Data!$V$62*($A589/1000)^2+Data!$V$63*($A589/1000)^3+Data!$V$64*($A589/1000)^4+Data!$V$65*($A589/1000)^5+Data!$V$66*($A589/1000)^6+Data!$V$67*($A589/1000)^7)))</f>
        <v>0.69228133344830911</v>
      </c>
    </row>
    <row r="590" spans="1:3" x14ac:dyDescent="0.3">
      <c r="A590">
        <f>31.602701*(29979200000/1000000000)</f>
        <v>947.42369381920003</v>
      </c>
      <c r="B590">
        <v>4.0000000000000002E-4</v>
      </c>
      <c r="C590">
        <f>(-1*B590+1/EXP((Data!$K$58*2.54)*(Data!$V$60+Data!$V$61*($A590/1000)+Data!$V$62*($A590/1000)^2+Data!$V$63*($A590/1000)^3+Data!$V$64*($A590/1000)^4+Data!$V$65*($A590/1000)^5+Data!$V$66*($A590/1000)^6+Data!$V$67*($A590/1000)^7)))</f>
        <v>0.69175994644089356</v>
      </c>
    </row>
    <row r="591" spans="1:3" x14ac:dyDescent="0.3">
      <c r="A591">
        <f>31.653104*(29979200000/1000000000)</f>
        <v>948.9347354368</v>
      </c>
      <c r="B591">
        <v>1.1800000000000001E-3</v>
      </c>
      <c r="C591">
        <f>(-1*B591+1/EXP((Data!$K$58*2.54)*(Data!$V$60+Data!$V$61*($A591/1000)+Data!$V$62*($A591/1000)^2+Data!$V$63*($A591/1000)^3+Data!$V$64*($A591/1000)^4+Data!$V$65*($A591/1000)^5+Data!$V$66*($A591/1000)^6+Data!$V$67*($A591/1000)^7)))</f>
        <v>0.69085896479153774</v>
      </c>
    </row>
    <row r="592" spans="1:3" x14ac:dyDescent="0.3">
      <c r="A592">
        <f>31.703507*(29979200000/1000000000)</f>
        <v>950.44577705439997</v>
      </c>
      <c r="B592">
        <v>1.1100000000000001E-3</v>
      </c>
      <c r="C592">
        <f>(-1*B592+1/EXP((Data!$K$58*2.54)*(Data!$V$60+Data!$V$61*($A592/1000)+Data!$V$62*($A592/1000)^2+Data!$V$63*($A592/1000)^3+Data!$V$64*($A592/1000)^4+Data!$V$65*($A592/1000)^5+Data!$V$66*($A592/1000)^6+Data!$V$67*($A592/1000)^7)))</f>
        <v>0.69080838444833559</v>
      </c>
    </row>
    <row r="593" spans="1:3" x14ac:dyDescent="0.3">
      <c r="A593">
        <f>31.75391*(29979200000/1000000000)</f>
        <v>951.95681867200005</v>
      </c>
      <c r="B593">
        <v>4.6000000000000001E-4</v>
      </c>
      <c r="C593">
        <f>(-1*B593+1/EXP((Data!$K$58*2.54)*(Data!$V$60+Data!$V$61*($A593/1000)+Data!$V$62*($A593/1000)^2+Data!$V$63*($A593/1000)^3+Data!$V$64*($A593/1000)^4+Data!$V$65*($A593/1000)^5+Data!$V$66*($A593/1000)^6+Data!$V$67*($A593/1000)^7)))</f>
        <v>0.69133820136736956</v>
      </c>
    </row>
    <row r="594" spans="1:3" x14ac:dyDescent="0.3">
      <c r="A594">
        <f>31.804313*(29979200000/1000000000)</f>
        <v>953.46786028960003</v>
      </c>
      <c r="B594">
        <v>0</v>
      </c>
      <c r="C594">
        <f>(-1*B594+1/EXP((Data!$K$58*2.54)*(Data!$V$60+Data!$V$61*($A594/1000)+Data!$V$62*($A594/1000)^2+Data!$V$63*($A594/1000)^3+Data!$V$64*($A594/1000)^4+Data!$V$65*($A594/1000)^5+Data!$V$66*($A594/1000)^6+Data!$V$67*($A594/1000)^7)))</f>
        <v>0.69167841151274301</v>
      </c>
    </row>
    <row r="595" spans="1:3" x14ac:dyDescent="0.3">
      <c r="A595">
        <f>31.854716*(29979200000/1000000000)</f>
        <v>954.97890190720011</v>
      </c>
      <c r="B595">
        <v>0</v>
      </c>
      <c r="C595">
        <f>(-1*B595+1/EXP((Data!$K$58*2.54)*(Data!$V$60+Data!$V$61*($A595/1000)+Data!$V$62*($A595/1000)^2+Data!$V$63*($A595/1000)^3+Data!$V$64*($A595/1000)^4+Data!$V$65*($A595/1000)^5+Data!$V$66*($A595/1000)^6+Data!$V$67*($A595/1000)^7)))</f>
        <v>0.6915590108566142</v>
      </c>
    </row>
    <row r="596" spans="1:3" x14ac:dyDescent="0.3">
      <c r="A596">
        <f>31.905119*(29979200000/1000000000)</f>
        <v>956.48994352480008</v>
      </c>
      <c r="B596">
        <v>1.3999999999999999E-4</v>
      </c>
      <c r="C596">
        <f>(-1*B596+1/EXP((Data!$K$58*2.54)*(Data!$V$60+Data!$V$61*($A596/1000)+Data!$V$62*($A596/1000)^2+Data!$V$63*($A596/1000)^3+Data!$V$64*($A596/1000)^4+Data!$V$65*($A596/1000)^5+Data!$V$66*($A596/1000)^6+Data!$V$67*($A596/1000)^7)))</f>
        <v>0.69129999537922926</v>
      </c>
    </row>
    <row r="597" spans="1:3" x14ac:dyDescent="0.3">
      <c r="A597">
        <f>31.955522*(29979200000/1000000000)</f>
        <v>958.00098514240005</v>
      </c>
      <c r="B597">
        <v>1.2999999999999999E-4</v>
      </c>
      <c r="C597">
        <f>(-1*B597+1/EXP((Data!$K$58*2.54)*(Data!$V$60+Data!$V$61*($A597/1000)+Data!$V$62*($A597/1000)^2+Data!$V$63*($A597/1000)^3+Data!$V$64*($A597/1000)^4+Data!$V$65*($A597/1000)^5+Data!$V$66*($A597/1000)^6+Data!$V$67*($A597/1000)^7)))</f>
        <v>0.69119136106895629</v>
      </c>
    </row>
    <row r="598" spans="1:3" x14ac:dyDescent="0.3">
      <c r="A598">
        <f>32.005925*(29979200000/1000000000)</f>
        <v>959.51202675999991</v>
      </c>
      <c r="B598">
        <v>0</v>
      </c>
      <c r="C598">
        <f>(-1*B598+1/EXP((Data!$K$58*2.54)*(Data!$V$60+Data!$V$61*($A598/1000)+Data!$V$62*($A598/1000)^2+Data!$V$63*($A598/1000)^3+Data!$V$64*($A598/1000)^4+Data!$V$65*($A598/1000)^5+Data!$V$66*($A598/1000)^6+Data!$V$67*($A598/1000)^7)))</f>
        <v>0.69120310392231865</v>
      </c>
    </row>
    <row r="599" spans="1:3" x14ac:dyDescent="0.3">
      <c r="A599">
        <f>32.056328*(29979200000/1000000000)</f>
        <v>961.0230683776</v>
      </c>
      <c r="B599">
        <v>0</v>
      </c>
      <c r="C599">
        <f>(-1*B599+1/EXP((Data!$K$58*2.54)*(Data!$V$60+Data!$V$61*($A599/1000)+Data!$V$62*($A599/1000)^2+Data!$V$63*($A599/1000)^3+Data!$V$64*($A599/1000)^4+Data!$V$65*($A599/1000)^5+Data!$V$66*($A599/1000)^6+Data!$V$67*($A599/1000)^7)))</f>
        <v>0.69108521994402905</v>
      </c>
    </row>
    <row r="600" spans="1:3" x14ac:dyDescent="0.3">
      <c r="A600">
        <f>32.106731*(29979200000/1000000000)</f>
        <v>962.53410999520008</v>
      </c>
      <c r="B600">
        <v>1.3999999999999999E-4</v>
      </c>
      <c r="C600">
        <f>(-1*B600+1/EXP((Data!$K$58*2.54)*(Data!$V$60+Data!$V$61*($A600/1000)+Data!$V$62*($A600/1000)^2+Data!$V$63*($A600/1000)^3+Data!$V$64*($A600/1000)^4+Data!$V$65*($A600/1000)^5+Data!$V$66*($A600/1000)^6+Data!$V$67*($A600/1000)^7)))</f>
        <v>0.69082770514702385</v>
      </c>
    </row>
    <row r="601" spans="1:3" x14ac:dyDescent="0.3">
      <c r="A601">
        <f>32.157134*(29979200000/1000000000)</f>
        <v>964.04515161279994</v>
      </c>
      <c r="B601">
        <v>5.2999999999999998E-4</v>
      </c>
      <c r="C601">
        <f>(-1*B601+1/EXP((Data!$K$58*2.54)*(Data!$V$60+Data!$V$61*($A601/1000)+Data!$V$62*($A601/1000)^2+Data!$V$63*($A601/1000)^3+Data!$V$64*($A601/1000)^4+Data!$V$65*($A601/1000)^5+Data!$V$66*($A601/1000)^6+Data!$V$67*($A601/1000)^7)))</f>
        <v>0.69032055555249727</v>
      </c>
    </row>
    <row r="602" spans="1:3" x14ac:dyDescent="0.3">
      <c r="A602">
        <f>32.207537*(29979200000/1000000000)</f>
        <v>965.55619323040003</v>
      </c>
      <c r="B602">
        <v>5.5000000000000003E-4</v>
      </c>
      <c r="C602">
        <f>(-1*B602+1/EXP((Data!$K$58*2.54)*(Data!$V$60+Data!$V$61*($A602/1000)+Data!$V$62*($A602/1000)^2+Data!$V$63*($A602/1000)^3+Data!$V$64*($A602/1000)^4+Data!$V$65*($A602/1000)^5+Data!$V$66*($A602/1000)^6+Data!$V$67*($A602/1000)^7)))</f>
        <v>0.6901837671899359</v>
      </c>
    </row>
    <row r="603" spans="1:3" x14ac:dyDescent="0.3">
      <c r="A603">
        <f>32.25794*(29979200000/1000000000)</f>
        <v>967.06723484799988</v>
      </c>
      <c r="B603">
        <v>3.5E-4</v>
      </c>
      <c r="C603">
        <f>(-1*B603+1/EXP((Data!$K$58*2.54)*(Data!$V$60+Data!$V$61*($A603/1000)+Data!$V$62*($A603/1000)^2+Data!$V$63*($A603/1000)^3+Data!$V$64*($A603/1000)^4+Data!$V$65*($A603/1000)^5+Data!$V$66*($A603/1000)^6+Data!$V$67*($A603/1000)^7)))</f>
        <v>0.69026733609715385</v>
      </c>
    </row>
    <row r="604" spans="1:3" x14ac:dyDescent="0.3">
      <c r="A604">
        <f>32.308343*(29979200000/1000000000)</f>
        <v>968.57827646559997</v>
      </c>
      <c r="B604">
        <v>7.6000000000000004E-4</v>
      </c>
      <c r="C604">
        <f>(-1*B604+1/EXP((Data!$K$58*2.54)*(Data!$V$60+Data!$V$61*($A604/1000)+Data!$V$62*($A604/1000)^2+Data!$V$63*($A604/1000)^3+Data!$V$64*($A604/1000)^4+Data!$V$65*($A604/1000)^5+Data!$V$66*($A604/1000)^6+Data!$V$67*($A604/1000)^7)))</f>
        <v>0.68974125832032629</v>
      </c>
    </row>
    <row r="605" spans="1:3" x14ac:dyDescent="0.3">
      <c r="A605">
        <f>32.358746*(29979200000/1000000000)</f>
        <v>970.08931808320006</v>
      </c>
      <c r="B605">
        <v>7.9000000000000001E-4</v>
      </c>
      <c r="C605">
        <f>(-1*B605+1/EXP((Data!$K$58*2.54)*(Data!$V$60+Data!$V$61*($A605/1000)+Data!$V$62*($A605/1000)^2+Data!$V$63*($A605/1000)^3+Data!$V$64*($A605/1000)^4+Data!$V$65*($A605/1000)^5+Data!$V$66*($A605/1000)^6+Data!$V$67*($A605/1000)^7)))</f>
        <v>0.68959552991402617</v>
      </c>
    </row>
    <row r="606" spans="1:3" x14ac:dyDescent="0.3">
      <c r="A606">
        <f>32.409149*(29979200000/1000000000)</f>
        <v>971.60035970079991</v>
      </c>
      <c r="B606">
        <v>6.0999999999999997E-4</v>
      </c>
      <c r="C606">
        <f>(-1*B606+1/EXP((Data!$K$58*2.54)*(Data!$V$60+Data!$V$61*($A606/1000)+Data!$V$62*($A606/1000)^2+Data!$V$63*($A606/1000)^3+Data!$V$64*($A606/1000)^4+Data!$V$65*($A606/1000)^5+Data!$V$66*($A606/1000)^6+Data!$V$67*($A606/1000)^7)))</f>
        <v>0.68966014694125832</v>
      </c>
    </row>
    <row r="607" spans="1:3" x14ac:dyDescent="0.3">
      <c r="A607">
        <f>32.459552*(29979200000/1000000000)</f>
        <v>973.1114013184</v>
      </c>
      <c r="B607">
        <v>4.6999999999999999E-4</v>
      </c>
      <c r="C607">
        <f>(-1*B607+1/EXP((Data!$K$58*2.54)*(Data!$V$60+Data!$V$61*($A607/1000)+Data!$V$62*($A607/1000)^2+Data!$V$63*($A607/1000)^3+Data!$V$64*($A607/1000)^4+Data!$V$65*($A607/1000)^5+Data!$V$66*($A607/1000)^6+Data!$V$67*($A607/1000)^7)))</f>
        <v>0.68968510547349504</v>
      </c>
    </row>
    <row r="608" spans="1:3" x14ac:dyDescent="0.3">
      <c r="A608">
        <f>32.509955*(29979200000/1000000000)</f>
        <v>974.62244293599986</v>
      </c>
      <c r="B608">
        <v>1.8000000000000001E-4</v>
      </c>
      <c r="C608">
        <f>(-1*B608+1/EXP((Data!$K$58*2.54)*(Data!$V$60+Data!$V$61*($A608/1000)+Data!$V$62*($A608/1000)^2+Data!$V$63*($A608/1000)^3+Data!$V$64*($A608/1000)^4+Data!$V$65*($A608/1000)^5+Data!$V$66*($A608/1000)^6+Data!$V$67*($A608/1000)^7)))</f>
        <v>0.68986040159071205</v>
      </c>
    </row>
    <row r="609" spans="1:3" x14ac:dyDescent="0.3">
      <c r="A609">
        <f>32.560358*(29979200000/1000000000)</f>
        <v>976.13348455359994</v>
      </c>
      <c r="B609">
        <v>2.7E-4</v>
      </c>
      <c r="C609">
        <f>(-1*B609+1/EXP((Data!$K$58*2.54)*(Data!$V$60+Data!$V$61*($A609/1000)+Data!$V$62*($A609/1000)^2+Data!$V$63*($A609/1000)^3+Data!$V$64*($A609/1000)^4+Data!$V$65*($A609/1000)^5+Data!$V$66*($A609/1000)^6+Data!$V$67*($A609/1000)^7)))</f>
        <v>0.68965603138142373</v>
      </c>
    </row>
    <row r="610" spans="1:3" x14ac:dyDescent="0.3">
      <c r="A610">
        <f>32.610761*(29979200000/1000000000)</f>
        <v>977.64452617120003</v>
      </c>
      <c r="B610">
        <v>3.8000000000000002E-4</v>
      </c>
      <c r="C610">
        <f>(-1*B610+1/EXP((Data!$K$58*2.54)*(Data!$V$60+Data!$V$61*($A610/1000)+Data!$V$62*($A610/1000)^2+Data!$V$63*($A610/1000)^3+Data!$V$64*($A610/1000)^4+Data!$V$65*($A610/1000)^5+Data!$V$66*($A610/1000)^6+Data!$V$67*($A610/1000)^7)))</f>
        <v>0.68943199094271834</v>
      </c>
    </row>
    <row r="611" spans="1:3" x14ac:dyDescent="0.3">
      <c r="A611">
        <f>32.661164*(29979200000/1000000000)</f>
        <v>979.15556778879989</v>
      </c>
      <c r="B611">
        <v>3.1E-4</v>
      </c>
      <c r="C611">
        <f>(-1*B611+1/EXP((Data!$K$58*2.54)*(Data!$V$60+Data!$V$61*($A611/1000)+Data!$V$62*($A611/1000)^2+Data!$V$63*($A611/1000)^3+Data!$V$64*($A611/1000)^4+Data!$V$65*($A611/1000)^5+Data!$V$66*($A611/1000)^6+Data!$V$67*($A611/1000)^7)))</f>
        <v>0.68938827638029643</v>
      </c>
    </row>
    <row r="612" spans="1:3" x14ac:dyDescent="0.3">
      <c r="A612">
        <f>32.711567*(29979200000/1000000000)</f>
        <v>980.66660940639997</v>
      </c>
      <c r="B612">
        <v>1.1E-4</v>
      </c>
      <c r="C612">
        <f>(-1*B612+1/EXP((Data!$K$58*2.54)*(Data!$V$60+Data!$V$61*($A612/1000)+Data!$V$62*($A612/1000)^2+Data!$V$63*($A612/1000)^3+Data!$V$64*($A612/1000)^4+Data!$V$65*($A612/1000)^5+Data!$V$66*($A612/1000)^6+Data!$V$67*($A612/1000)^7)))</f>
        <v>0.68947488380850397</v>
      </c>
    </row>
    <row r="613" spans="1:3" x14ac:dyDescent="0.3">
      <c r="A613">
        <f>32.76197*(29979200000/1000000000)</f>
        <v>982.17765102399994</v>
      </c>
      <c r="B613">
        <v>5.0000000000000001E-4</v>
      </c>
      <c r="C613">
        <f>(-1*B613+1/EXP((Data!$K$58*2.54)*(Data!$V$60+Data!$V$61*($A613/1000)+Data!$V$62*($A613/1000)^2+Data!$V$63*($A613/1000)^3+Data!$V$64*($A613/1000)^4+Data!$V$65*($A613/1000)^5+Data!$V$66*($A613/1000)^6+Data!$V$67*($A613/1000)^7)))</f>
        <v>0.68897180935037106</v>
      </c>
    </row>
    <row r="614" spans="1:3" x14ac:dyDescent="0.3">
      <c r="A614">
        <f>32.812373*(29979200000/1000000000)</f>
        <v>983.68869264160003</v>
      </c>
      <c r="B614">
        <v>1.58E-3</v>
      </c>
      <c r="C614">
        <f>(-1*B614+1/EXP((Data!$K$58*2.54)*(Data!$V$60+Data!$V$61*($A614/1000)+Data!$V$62*($A614/1000)^2+Data!$V$63*($A614/1000)^3+Data!$V$64*($A614/1000)^4+Data!$V$65*($A614/1000)^5+Data!$V$66*($A614/1000)^6+Data!$V$67*($A614/1000)^7)))</f>
        <v>0.68777904913764676</v>
      </c>
    </row>
    <row r="615" spans="1:3" x14ac:dyDescent="0.3">
      <c r="A615">
        <f>32.862776*(29979200000/1000000000)</f>
        <v>985.19973425920011</v>
      </c>
      <c r="B615">
        <v>1.1100000000000001E-3</v>
      </c>
      <c r="C615">
        <f>(-1*B615+1/EXP((Data!$K$58*2.54)*(Data!$V$60+Data!$V$61*($A615/1000)+Data!$V$62*($A615/1000)^2+Data!$V$63*($A615/1000)^3+Data!$V$64*($A615/1000)^4+Data!$V$65*($A615/1000)^5+Data!$V$66*($A615/1000)^6+Data!$V$67*($A615/1000)^7)))</f>
        <v>0.68813659931083726</v>
      </c>
    </row>
    <row r="616" spans="1:3" x14ac:dyDescent="0.3">
      <c r="A616">
        <f>32.913179*(29979200000/1000000000)</f>
        <v>986.71077587679997</v>
      </c>
      <c r="B616">
        <v>1.2600000000000001E-3</v>
      </c>
      <c r="C616">
        <f>(-1*B616+1/EXP((Data!$K$58*2.54)*(Data!$V$60+Data!$V$61*($A616/1000)+Data!$V$62*($A616/1000)^2+Data!$V$63*($A616/1000)^3+Data!$V$64*($A616/1000)^4+Data!$V$65*($A616/1000)^5+Data!$V$66*($A616/1000)^6+Data!$V$67*($A616/1000)^7)))</f>
        <v>0.68787445601924169</v>
      </c>
    </row>
    <row r="617" spans="1:3" x14ac:dyDescent="0.3">
      <c r="A617">
        <f>32.963582*(29979200000/1000000000)</f>
        <v>988.22181749440006</v>
      </c>
      <c r="B617">
        <v>3.5E-4</v>
      </c>
      <c r="C617">
        <f>(-1*B617+1/EXP((Data!$K$58*2.54)*(Data!$V$60+Data!$V$61*($A617/1000)+Data!$V$62*($A617/1000)^2+Data!$V$63*($A617/1000)^3+Data!$V$64*($A617/1000)^4+Data!$V$65*($A617/1000)^5+Data!$V$66*($A617/1000)^6+Data!$V$67*($A617/1000)^7)))</f>
        <v>0.68867261542098934</v>
      </c>
    </row>
    <row r="618" spans="1:3" x14ac:dyDescent="0.3">
      <c r="A618">
        <f>33.013985*(29979200000/1000000000)</f>
        <v>989.73285911199991</v>
      </c>
      <c r="B618">
        <v>0</v>
      </c>
      <c r="C618">
        <f>(-1*B618+1/EXP((Data!$K$58*2.54)*(Data!$V$60+Data!$V$61*($A618/1000)+Data!$V$62*($A618/1000)^2+Data!$V$63*($A618/1000)^3+Data!$V$64*($A618/1000)^4+Data!$V$65*($A618/1000)^5+Data!$V$66*($A618/1000)^6+Data!$V$67*($A618/1000)^7)))</f>
        <v>0.68891107368307647</v>
      </c>
    </row>
    <row r="619" spans="1:3" x14ac:dyDescent="0.3">
      <c r="A619">
        <f>33.064388*(29979200000/1000000000)</f>
        <v>991.2439007296</v>
      </c>
      <c r="B619">
        <v>5.9000000000000003E-4</v>
      </c>
      <c r="C619">
        <f>(-1*B619+1/EXP((Data!$K$58*2.54)*(Data!$V$60+Data!$V$61*($A619/1000)+Data!$V$62*($A619/1000)^2+Data!$V$63*($A619/1000)^3+Data!$V$64*($A619/1000)^4+Data!$V$65*($A619/1000)^5+Data!$V$66*($A619/1000)^6+Data!$V$67*($A619/1000)^7)))</f>
        <v>0.68820982698140465</v>
      </c>
    </row>
    <row r="620" spans="1:3" x14ac:dyDescent="0.3">
      <c r="A620">
        <f>33.114791*(29979200000/1000000000)</f>
        <v>992.75494234720009</v>
      </c>
      <c r="B620">
        <v>0</v>
      </c>
      <c r="C620">
        <f>(-1*B620+1/EXP((Data!$K$58*2.54)*(Data!$V$60+Data!$V$61*($A620/1000)+Data!$V$62*($A620/1000)^2+Data!$V$63*($A620/1000)^3+Data!$V$64*($A620/1000)^4+Data!$V$65*($A620/1000)^5+Data!$V$66*($A620/1000)^6+Data!$V$67*($A620/1000)^7)))</f>
        <v>0.68868887150081681</v>
      </c>
    </row>
    <row r="621" spans="1:3" x14ac:dyDescent="0.3">
      <c r="A621">
        <f>33.165194*(29979200000/1000000000)</f>
        <v>994.26598396479994</v>
      </c>
      <c r="B621">
        <v>0</v>
      </c>
      <c r="C621">
        <f>(-1*B621+1/EXP((Data!$K$58*2.54)*(Data!$V$60+Data!$V$61*($A621/1000)+Data!$V$62*($A621/1000)^2+Data!$V$63*($A621/1000)^3+Data!$V$64*($A621/1000)^4+Data!$V$65*($A621/1000)^5+Data!$V$66*($A621/1000)^6+Data!$V$67*($A621/1000)^7)))</f>
        <v>0.68857820343513543</v>
      </c>
    </row>
    <row r="622" spans="1:3" x14ac:dyDescent="0.3">
      <c r="A622">
        <f>33.215597*(29979200000/1000000000)</f>
        <v>995.77702558240003</v>
      </c>
      <c r="B622">
        <v>1.1800000000000001E-3</v>
      </c>
      <c r="C622">
        <f>(-1*B622+1/EXP((Data!$K$58*2.54)*(Data!$V$60+Data!$V$61*($A622/1000)+Data!$V$62*($A622/1000)^2+Data!$V$63*($A622/1000)^3+Data!$V$64*($A622/1000)^4+Data!$V$65*($A622/1000)^5+Data!$V$66*($A622/1000)^6+Data!$V$67*($A622/1000)^7)))</f>
        <v>0.6872878189872007</v>
      </c>
    </row>
    <row r="623" spans="1:3" x14ac:dyDescent="0.3">
      <c r="A623">
        <f>33.266*(29979200000/1000000000)</f>
        <v>997.28806719999989</v>
      </c>
      <c r="B623">
        <v>2.1299999999999999E-3</v>
      </c>
      <c r="C623">
        <f>(-1*B623+1/EXP((Data!$K$58*2.54)*(Data!$V$60+Data!$V$61*($A623/1000)+Data!$V$62*($A623/1000)^2+Data!$V$63*($A623/1000)^3+Data!$V$64*($A623/1000)^4+Data!$V$65*($A623/1000)^5+Data!$V$66*($A623/1000)^6+Data!$V$67*($A623/1000)^7)))</f>
        <v>0.68622771436890739</v>
      </c>
    </row>
    <row r="624" spans="1:3" x14ac:dyDescent="0.3">
      <c r="A624">
        <f>33.316403*(29979200000/1000000000)</f>
        <v>998.79910881759997</v>
      </c>
      <c r="B624">
        <v>2.0999999999999999E-3</v>
      </c>
      <c r="C624">
        <f>(-1*B624+1/EXP((Data!$K$58*2.54)*(Data!$V$60+Data!$V$61*($A624/1000)+Data!$V$62*($A624/1000)^2+Data!$V$63*($A624/1000)^3+Data!$V$64*($A624/1000)^4+Data!$V$65*($A624/1000)^5+Data!$V$66*($A624/1000)^6+Data!$V$67*($A624/1000)^7)))</f>
        <v>0.68614788580124331</v>
      </c>
    </row>
    <row r="625" spans="1:3" x14ac:dyDescent="0.3">
      <c r="A625">
        <f>33.366806*(29979200000/1000000000)</f>
        <v>1000.3101504352001</v>
      </c>
      <c r="B625">
        <v>4.6999999999999999E-4</v>
      </c>
      <c r="C625">
        <f>(-1*B625+1/EXP((Data!$K$58*2.54)*(Data!$V$60+Data!$V$61*($A625/1000)+Data!$V$62*($A625/1000)^2+Data!$V$63*($A625/1000)^3+Data!$V$64*($A625/1000)^4+Data!$V$65*($A625/1000)^5+Data!$V$66*($A625/1000)^6+Data!$V$67*($A625/1000)^7)))</f>
        <v>0.6876683295143281</v>
      </c>
    </row>
    <row r="626" spans="1:3" x14ac:dyDescent="0.3">
      <c r="A626">
        <f>33.417209*(29979200000/1000000000)</f>
        <v>1001.8211920527999</v>
      </c>
      <c r="B626">
        <v>4.6999999999999999E-4</v>
      </c>
      <c r="C626">
        <f>(-1*B626+1/EXP((Data!$K$58*2.54)*(Data!$V$60+Data!$V$61*($A626/1000)+Data!$V$62*($A626/1000)^2+Data!$V$63*($A626/1000)^3+Data!$V$64*($A626/1000)^4+Data!$V$65*($A626/1000)^5+Data!$V$66*($A626/1000)^6+Data!$V$67*($A626/1000)^7)))</f>
        <v>0.68755904174745019</v>
      </c>
    </row>
    <row r="627" spans="1:3" x14ac:dyDescent="0.3">
      <c r="A627">
        <f>33.467612*(29979200000/1000000000)</f>
        <v>1003.3322336704</v>
      </c>
      <c r="B627">
        <v>1.1000000000000001E-3</v>
      </c>
      <c r="C627">
        <f>(-1*B627+1/EXP((Data!$K$58*2.54)*(Data!$V$60+Data!$V$61*($A627/1000)+Data!$V$62*($A627/1000)^2+Data!$V$63*($A627/1000)^3+Data!$V$64*($A627/1000)^4+Data!$V$65*($A627/1000)^5+Data!$V$66*($A627/1000)^6+Data!$V$67*($A627/1000)^7)))</f>
        <v>0.68682001874910603</v>
      </c>
    </row>
    <row r="628" spans="1:3" x14ac:dyDescent="0.3">
      <c r="A628">
        <f>33.518015*(29979200000/1000000000)</f>
        <v>1004.8432752879999</v>
      </c>
      <c r="B628">
        <v>0</v>
      </c>
      <c r="C628">
        <f>(-1*B628+1/EXP((Data!$K$58*2.54)*(Data!$V$60+Data!$V$61*($A628/1000)+Data!$V$62*($A628/1000)^2+Data!$V$63*($A628/1000)^3+Data!$V$64*($A628/1000)^4+Data!$V$65*($A628/1000)^5+Data!$V$66*($A628/1000)^6+Data!$V$67*($A628/1000)^7)))</f>
        <v>0.68781125677703803</v>
      </c>
    </row>
    <row r="629" spans="1:3" x14ac:dyDescent="0.3">
      <c r="A629">
        <f>33.568418*(29979200000/1000000000)</f>
        <v>1006.3543169055999</v>
      </c>
      <c r="B629">
        <v>0</v>
      </c>
      <c r="C629">
        <f>(-1*B629+1/EXP((Data!$K$58*2.54)*(Data!$V$60+Data!$V$61*($A629/1000)+Data!$V$62*($A629/1000)^2+Data!$V$63*($A629/1000)^3+Data!$V$64*($A629/1000)^4+Data!$V$65*($A629/1000)^5+Data!$V$66*($A629/1000)^6+Data!$V$67*($A629/1000)^7)))</f>
        <v>0.68770275209827425</v>
      </c>
    </row>
    <row r="630" spans="1:3" x14ac:dyDescent="0.3">
      <c r="A630">
        <f>33.618821*(29979200000/1000000000)</f>
        <v>1007.8653585232</v>
      </c>
      <c r="B630">
        <v>1.32E-3</v>
      </c>
      <c r="C630">
        <f>(-1*B630+1/EXP((Data!$K$58*2.54)*(Data!$V$60+Data!$V$61*($A630/1000)+Data!$V$62*($A630/1000)^2+Data!$V$63*($A630/1000)^3+Data!$V$64*($A630/1000)^4+Data!$V$65*($A630/1000)^5+Data!$V$66*($A630/1000)^6+Data!$V$67*($A630/1000)^7)))</f>
        <v>0.68627450098916609</v>
      </c>
    </row>
    <row r="631" spans="1:3" x14ac:dyDescent="0.3">
      <c r="A631">
        <f>33.669224*(29979200000/1000000000)</f>
        <v>1009.3764001408</v>
      </c>
      <c r="B631">
        <v>1.64E-3</v>
      </c>
      <c r="C631">
        <f>(-1*B631+1/EXP((Data!$K$58*2.54)*(Data!$V$60+Data!$V$61*($A631/1000)+Data!$V$62*($A631/1000)^2+Data!$V$63*($A631/1000)^3+Data!$V$64*($A631/1000)^4+Data!$V$65*($A631/1000)^5+Data!$V$66*($A631/1000)^6+Data!$V$67*($A631/1000)^7)))</f>
        <v>0.68584649973542755</v>
      </c>
    </row>
    <row r="632" spans="1:3" x14ac:dyDescent="0.3">
      <c r="A632">
        <f>33.719627*(29979200000/1000000000)</f>
        <v>1010.8874417584001</v>
      </c>
      <c r="B632">
        <v>1.14E-3</v>
      </c>
      <c r="C632">
        <f>(-1*B632+1/EXP((Data!$K$58*2.54)*(Data!$V$60+Data!$V$61*($A632/1000)+Data!$V$62*($A632/1000)^2+Data!$V$63*($A632/1000)^3+Data!$V$64*($A632/1000)^4+Data!$V$65*($A632/1000)^5+Data!$V$66*($A632/1000)^6+Data!$V$67*($A632/1000)^7)))</f>
        <v>0.6862387446321746</v>
      </c>
    </row>
    <row r="633" spans="1:3" x14ac:dyDescent="0.3">
      <c r="A633">
        <f>33.77003*(29979200000/1000000000)</f>
        <v>1012.3984833759999</v>
      </c>
      <c r="B633">
        <v>9.7999999999999997E-4</v>
      </c>
      <c r="C633">
        <f>(-1*B633+1/EXP((Data!$K$58*2.54)*(Data!$V$60+Data!$V$61*($A633/1000)+Data!$V$62*($A633/1000)^2+Data!$V$63*($A633/1000)^3+Data!$V$64*($A633/1000)^4+Data!$V$65*($A633/1000)^5+Data!$V$66*($A633/1000)^6+Data!$V$67*($A633/1000)^7)))</f>
        <v>0.68629123198396391</v>
      </c>
    </row>
    <row r="634" spans="1:3" x14ac:dyDescent="0.3">
      <c r="A634">
        <f>33.820433*(29979200000/1000000000)</f>
        <v>1013.9095249936</v>
      </c>
      <c r="B634">
        <v>1.1100000000000001E-3</v>
      </c>
      <c r="C634">
        <f>(-1*B634+1/EXP((Data!$K$58*2.54)*(Data!$V$60+Data!$V$61*($A634/1000)+Data!$V$62*($A634/1000)^2+Data!$V$63*($A634/1000)^3+Data!$V$64*($A634/1000)^4+Data!$V$65*($A634/1000)^5+Data!$V$66*($A634/1000)^6+Data!$V$67*($A634/1000)^7)))</f>
        <v>0.68605395810483194</v>
      </c>
    </row>
    <row r="635" spans="1:3" x14ac:dyDescent="0.3">
      <c r="A635">
        <f>33.870836*(29979200000/1000000000)</f>
        <v>1015.4205666112001</v>
      </c>
      <c r="B635">
        <v>1.2600000000000001E-3</v>
      </c>
      <c r="C635">
        <f>(-1*B635+1/EXP((Data!$K$58*2.54)*(Data!$V$60+Data!$V$61*($A635/1000)+Data!$V$62*($A635/1000)^2+Data!$V$63*($A635/1000)^3+Data!$V$64*($A635/1000)^4+Data!$V$65*($A635/1000)^5+Data!$V$66*($A635/1000)^6+Data!$V$67*($A635/1000)^7)))</f>
        <v>0.68579691931833531</v>
      </c>
    </row>
    <row r="636" spans="1:3" x14ac:dyDescent="0.3">
      <c r="A636">
        <f>33.921239*(29979200000/1000000000)</f>
        <v>1016.9316082288</v>
      </c>
      <c r="B636">
        <v>5.4000000000000001E-4</v>
      </c>
      <c r="C636">
        <f>(-1*B636+1/EXP((Data!$K$58*2.54)*(Data!$V$60+Data!$V$61*($A636/1000)+Data!$V$62*($A636/1000)^2+Data!$V$63*($A636/1000)^3+Data!$V$64*($A636/1000)^4+Data!$V$65*($A636/1000)^5+Data!$V$66*($A636/1000)^6+Data!$V$67*($A636/1000)^7)))</f>
        <v>0.68641011195758872</v>
      </c>
    </row>
    <row r="637" spans="1:3" x14ac:dyDescent="0.3">
      <c r="A637">
        <f>33.971642*(29979200000/1000000000)</f>
        <v>1018.4426498464001</v>
      </c>
      <c r="B637">
        <v>0</v>
      </c>
      <c r="C637">
        <f>(-1*B637+1/EXP((Data!$K$58*2.54)*(Data!$V$60+Data!$V$61*($A637/1000)+Data!$V$62*($A637/1000)^2+Data!$V$63*($A637/1000)^3+Data!$V$64*($A637/1000)^4+Data!$V$65*($A637/1000)^5+Data!$V$66*($A637/1000)^6+Data!$V$67*($A637/1000)^7)))</f>
        <v>0.68684353236530626</v>
      </c>
    </row>
    <row r="638" spans="1:3" x14ac:dyDescent="0.3">
      <c r="A638">
        <f>34.022045*(29979200000/1000000000)</f>
        <v>1019.9536914639999</v>
      </c>
      <c r="B638">
        <v>5.2999999999999998E-4</v>
      </c>
      <c r="C638">
        <f>(-1*B638+1/EXP((Data!$K$58*2.54)*(Data!$V$60+Data!$V$61*($A638/1000)+Data!$V$62*($A638/1000)^2+Data!$V$63*($A638/1000)^3+Data!$V$64*($A638/1000)^4+Data!$V$65*($A638/1000)^5+Data!$V$66*($A638/1000)^6+Data!$V$67*($A638/1000)^7)))</f>
        <v>0.68620717689384003</v>
      </c>
    </row>
    <row r="639" spans="1:3" x14ac:dyDescent="0.3">
      <c r="A639">
        <f>34.072448*(29979200000/1000000000)</f>
        <v>1021.4647330816</v>
      </c>
      <c r="B639">
        <v>1.3999999999999999E-4</v>
      </c>
      <c r="C639">
        <f>(-1*B639+1/EXP((Data!$K$58*2.54)*(Data!$V$60+Data!$V$61*($A639/1000)+Data!$V$62*($A639/1000)^2+Data!$V$63*($A639/1000)^3+Data!$V$64*($A639/1000)^4+Data!$V$65*($A639/1000)^5+Data!$V$66*($A639/1000)^6+Data!$V$67*($A639/1000)^7)))</f>
        <v>0.68649104190522048</v>
      </c>
    </row>
    <row r="640" spans="1:3" x14ac:dyDescent="0.3">
      <c r="A640">
        <f>34.122851*(29979200000/1000000000)</f>
        <v>1022.9757746992001</v>
      </c>
      <c r="B640">
        <v>0</v>
      </c>
      <c r="C640">
        <f>(-1*B640+1/EXP((Data!$K$58*2.54)*(Data!$V$60+Data!$V$61*($A640/1000)+Data!$V$62*($A640/1000)^2+Data!$V$63*($A640/1000)^3+Data!$V$64*($A640/1000)^4+Data!$V$65*($A640/1000)^5+Data!$V$66*($A640/1000)^6+Data!$V$67*($A640/1000)^7)))</f>
        <v>0.68652512377119579</v>
      </c>
    </row>
    <row r="641" spans="1:3" x14ac:dyDescent="0.3">
      <c r="A641">
        <f>34.173254*(29979200000/1000000000)</f>
        <v>1024.4868163168001</v>
      </c>
      <c r="B641">
        <v>0</v>
      </c>
      <c r="C641">
        <f>(-1*B641+1/EXP((Data!$K$58*2.54)*(Data!$V$60+Data!$V$61*($A641/1000)+Data!$V$62*($A641/1000)^2+Data!$V$63*($A641/1000)^3+Data!$V$64*($A641/1000)^4+Data!$V$65*($A641/1000)^5+Data!$V$66*($A641/1000)^6+Data!$V$67*($A641/1000)^7)))</f>
        <v>0.68641941887327274</v>
      </c>
    </row>
    <row r="642" spans="1:3" x14ac:dyDescent="0.3">
      <c r="A642">
        <f>34.223657*(29979200000/1000000000)</f>
        <v>1025.9978579344001</v>
      </c>
      <c r="B642">
        <v>3.6999999999999999E-4</v>
      </c>
      <c r="C642">
        <f>(-1*B642+1/EXP((Data!$K$58*2.54)*(Data!$V$60+Data!$V$61*($A642/1000)+Data!$V$62*($A642/1000)^2+Data!$V$63*($A642/1000)^3+Data!$V$64*($A642/1000)^4+Data!$V$65*($A642/1000)^5+Data!$V$66*($A642/1000)^6+Data!$V$67*($A642/1000)^7)))</f>
        <v>0.68594392360275602</v>
      </c>
    </row>
    <row r="643" spans="1:3" x14ac:dyDescent="0.3">
      <c r="A643">
        <f>34.27406*(29979200000/1000000000)</f>
        <v>1027.508899552</v>
      </c>
      <c r="B643">
        <v>1.1E-4</v>
      </c>
      <c r="C643">
        <f>(-1*B643+1/EXP((Data!$K$58*2.54)*(Data!$V$60+Data!$V$61*($A643/1000)+Data!$V$62*($A643/1000)^2+Data!$V$63*($A643/1000)^3+Data!$V$64*($A643/1000)^4+Data!$V$65*($A643/1000)^5+Data!$V$66*($A643/1000)^6+Data!$V$67*($A643/1000)^7)))</f>
        <v>0.68609863436078922</v>
      </c>
    </row>
    <row r="644" spans="1:3" x14ac:dyDescent="0.3">
      <c r="A644">
        <f>34.324463*(29979200000/1000000000)</f>
        <v>1029.0199411696001</v>
      </c>
      <c r="B644">
        <v>2.9E-4</v>
      </c>
      <c r="C644">
        <f>(-1*B644+1/EXP((Data!$K$58*2.54)*(Data!$V$60+Data!$V$61*($A644/1000)+Data!$V$62*($A644/1000)^2+Data!$V$63*($A644/1000)^3+Data!$V$64*($A644/1000)^4+Data!$V$65*($A644/1000)^5+Data!$V$66*($A644/1000)^6+Data!$V$67*($A644/1000)^7)))</f>
        <v>0.68581354755839508</v>
      </c>
    </row>
    <row r="645" spans="1:3" x14ac:dyDescent="0.3">
      <c r="A645">
        <f>34.374866*(29979200000/1000000000)</f>
        <v>1030.5309827872002</v>
      </c>
      <c r="B645">
        <v>7.9000000000000001E-4</v>
      </c>
      <c r="C645">
        <f>(-1*B645+1/EXP((Data!$K$58*2.54)*(Data!$V$60+Data!$V$61*($A645/1000)+Data!$V$62*($A645/1000)^2+Data!$V$63*($A645/1000)^3+Data!$V$64*($A645/1000)^4+Data!$V$65*($A645/1000)^5+Data!$V$66*($A645/1000)^6+Data!$V$67*($A645/1000)^7)))</f>
        <v>0.68520865961651511</v>
      </c>
    </row>
    <row r="646" spans="1:3" x14ac:dyDescent="0.3">
      <c r="A646">
        <f>34.425269*(29979200000/1000000000)</f>
        <v>1032.0420244048</v>
      </c>
      <c r="B646">
        <v>1.1100000000000001E-3</v>
      </c>
      <c r="C646">
        <f>(-1*B646+1/EXP((Data!$K$58*2.54)*(Data!$V$60+Data!$V$61*($A646/1000)+Data!$V$62*($A646/1000)^2+Data!$V$63*($A646/1000)^3+Data!$V$64*($A646/1000)^4+Data!$V$65*($A646/1000)^5+Data!$V$66*($A646/1000)^6+Data!$V$67*($A646/1000)^7)))</f>
        <v>0.68478396696605115</v>
      </c>
    </row>
    <row r="647" spans="1:3" x14ac:dyDescent="0.3">
      <c r="A647">
        <f>34.475672*(29979200000/1000000000)</f>
        <v>1033.5530660224001</v>
      </c>
      <c r="B647">
        <v>7.6999999999999996E-4</v>
      </c>
      <c r="C647">
        <f>(-1*B647+1/EXP((Data!$K$58*2.54)*(Data!$V$60+Data!$V$61*($A647/1000)+Data!$V$62*($A647/1000)^2+Data!$V$63*($A647/1000)^3+Data!$V$64*($A647/1000)^4+Data!$V$65*($A647/1000)^5+Data!$V$66*($A647/1000)^6+Data!$V$67*($A647/1000)^7)))</f>
        <v>0.68501946604790587</v>
      </c>
    </row>
    <row r="648" spans="1:3" x14ac:dyDescent="0.3">
      <c r="A648">
        <f>34.526075*(29979200000/1000000000)</f>
        <v>1035.06410764</v>
      </c>
      <c r="B648">
        <v>6.7000000000000002E-4</v>
      </c>
      <c r="C648">
        <f>(-1*B648+1/EXP((Data!$K$58*2.54)*(Data!$V$60+Data!$V$61*($A648/1000)+Data!$V$62*($A648/1000)^2+Data!$V$63*($A648/1000)^3+Data!$V$64*($A648/1000)^4+Data!$V$65*($A648/1000)^5+Data!$V$66*($A648/1000)^6+Data!$V$67*($A648/1000)^7)))</f>
        <v>0.6850151533130231</v>
      </c>
    </row>
    <row r="649" spans="1:3" x14ac:dyDescent="0.3">
      <c r="A649">
        <f>34.576478*(29979200000/1000000000)</f>
        <v>1036.5751492576001</v>
      </c>
      <c r="B649">
        <v>0</v>
      </c>
      <c r="C649">
        <f>(-1*B649+1/EXP((Data!$K$58*2.54)*(Data!$V$60+Data!$V$61*($A649/1000)+Data!$V$62*($A649/1000)^2+Data!$V$63*($A649/1000)^3+Data!$V$64*($A649/1000)^4+Data!$V$65*($A649/1000)^5+Data!$V$66*($A649/1000)^6+Data!$V$67*($A649/1000)^7)))</f>
        <v>0.68558102522242814</v>
      </c>
    </row>
    <row r="650" spans="1:3" x14ac:dyDescent="0.3">
      <c r="A650">
        <f>34.626881*(29979200000/1000000000)</f>
        <v>1038.0861908752001</v>
      </c>
      <c r="B650">
        <v>0</v>
      </c>
      <c r="C650">
        <f>(-1*B650+1/EXP((Data!$K$58*2.54)*(Data!$V$60+Data!$V$61*($A650/1000)+Data!$V$62*($A650/1000)^2+Data!$V$63*($A650/1000)^3+Data!$V$64*($A650/1000)^4+Data!$V$65*($A650/1000)^5+Data!$V$66*($A650/1000)^6+Data!$V$67*($A650/1000)^7)))</f>
        <v>0.68547707824727089</v>
      </c>
    </row>
    <row r="651" spans="1:3" x14ac:dyDescent="0.3">
      <c r="A651">
        <f>34.677284*(29979200000/1000000000)</f>
        <v>1039.5972324928</v>
      </c>
      <c r="B651">
        <v>8.0000000000000007E-5</v>
      </c>
      <c r="C651">
        <f>(-1*B651+1/EXP((Data!$K$58*2.54)*(Data!$V$60+Data!$V$61*($A651/1000)+Data!$V$62*($A651/1000)^2+Data!$V$63*($A651/1000)^3+Data!$V$64*($A651/1000)^4+Data!$V$65*($A651/1000)^5+Data!$V$66*($A651/1000)^6+Data!$V$67*($A651/1000)^7)))</f>
        <v>0.68529330886886397</v>
      </c>
    </row>
    <row r="652" spans="1:3" x14ac:dyDescent="0.3">
      <c r="A652">
        <f>34.727687*(29979200000/1000000000)</f>
        <v>1041.1082741104001</v>
      </c>
      <c r="B652">
        <v>0</v>
      </c>
      <c r="C652">
        <f>(-1*B652+1/EXP((Data!$K$58*2.54)*(Data!$V$60+Data!$V$61*($A652/1000)+Data!$V$62*($A652/1000)^2+Data!$V$63*($A652/1000)^3+Data!$V$64*($A652/1000)^4+Data!$V$65*($A652/1000)^5+Data!$V$66*($A652/1000)^6+Data!$V$67*($A652/1000)^7)))</f>
        <v>0.68526971357872557</v>
      </c>
    </row>
    <row r="653" spans="1:3" x14ac:dyDescent="0.3">
      <c r="A653">
        <f>34.77809*(29979200000/1000000000)</f>
        <v>1042.6193157279999</v>
      </c>
      <c r="B653">
        <v>5.0000000000000002E-5</v>
      </c>
      <c r="C653">
        <f>(-1*B653+1/EXP((Data!$K$58*2.54)*(Data!$V$60+Data!$V$61*($A653/1000)+Data!$V$62*($A653/1000)^2+Data!$V$63*($A653/1000)^3+Data!$V$64*($A653/1000)^4+Data!$V$65*($A653/1000)^5+Data!$V$66*($A653/1000)^6+Data!$V$67*($A653/1000)^7)))</f>
        <v>0.68511628887862075</v>
      </c>
    </row>
    <row r="654" spans="1:3" x14ac:dyDescent="0.3">
      <c r="A654">
        <f>34.828493*(29979200000/1000000000)</f>
        <v>1044.1303573456</v>
      </c>
      <c r="B654">
        <v>0</v>
      </c>
      <c r="C654">
        <f>(-1*B654+1/EXP((Data!$K$58*2.54)*(Data!$V$60+Data!$V$61*($A654/1000)+Data!$V$62*($A654/1000)^2+Data!$V$63*($A654/1000)^3+Data!$V$64*($A654/1000)^4+Data!$V$65*($A654/1000)^5+Data!$V$66*($A654/1000)^6+Data!$V$67*($A654/1000)^7)))</f>
        <v>0.68506303128060142</v>
      </c>
    </row>
    <row r="655" spans="1:3" x14ac:dyDescent="0.3">
      <c r="A655">
        <f>34.878896*(29979200000/1000000000)</f>
        <v>1045.6413989632001</v>
      </c>
      <c r="B655">
        <v>0</v>
      </c>
      <c r="C655">
        <f>(-1*B655+1/EXP((Data!$K$58*2.54)*(Data!$V$60+Data!$V$61*($A655/1000)+Data!$V$62*($A655/1000)^2+Data!$V$63*($A655/1000)^3+Data!$V$64*($A655/1000)^4+Data!$V$65*($A655/1000)^5+Data!$V$66*($A655/1000)^6+Data!$V$67*($A655/1000)^7)))</f>
        <v>0.68495993730704896</v>
      </c>
    </row>
    <row r="656" spans="1:3" x14ac:dyDescent="0.3">
      <c r="A656">
        <f>34.929299*(29979200000/1000000000)</f>
        <v>1047.1524405808</v>
      </c>
      <c r="B656">
        <v>1.07E-3</v>
      </c>
      <c r="C656">
        <f>(-1*B656+1/EXP((Data!$K$58*2.54)*(Data!$V$60+Data!$V$61*($A656/1000)+Data!$V$62*($A656/1000)^2+Data!$V$63*($A656/1000)^3+Data!$V$64*($A656/1000)^4+Data!$V$65*($A656/1000)^5+Data!$V$66*($A656/1000)^6+Data!$V$67*($A656/1000)^7)))</f>
        <v>0.68378700349071453</v>
      </c>
    </row>
    <row r="657" spans="1:3" x14ac:dyDescent="0.3">
      <c r="A657">
        <f>34.979702*(29979200000/1000000000)</f>
        <v>1048.6634821984001</v>
      </c>
      <c r="B657">
        <v>4.2000000000000002E-4</v>
      </c>
      <c r="C657">
        <f>(-1*B657+1/EXP((Data!$K$58*2.54)*(Data!$V$60+Data!$V$61*($A657/1000)+Data!$V$62*($A657/1000)^2+Data!$V$63*($A657/1000)^3+Data!$V$64*($A657/1000)^4+Data!$V$65*($A657/1000)^5+Data!$V$66*($A657/1000)^6+Data!$V$67*($A657/1000)^7)))</f>
        <v>0.68433422637476138</v>
      </c>
    </row>
    <row r="658" spans="1:3" x14ac:dyDescent="0.3">
      <c r="A658">
        <f>35.030105*(29979200000/1000000000)</f>
        <v>1050.1745238159999</v>
      </c>
      <c r="B658">
        <v>0</v>
      </c>
      <c r="C658">
        <f>(-1*B658+1/EXP((Data!$K$58*2.54)*(Data!$V$60+Data!$V$61*($A658/1000)+Data!$V$62*($A658/1000)^2+Data!$V$63*($A658/1000)^3+Data!$V$64*($A658/1000)^4+Data!$V$65*($A658/1000)^5+Data!$V$66*($A658/1000)^6+Data!$V$67*($A658/1000)^7)))</f>
        <v>0.6846516025128061</v>
      </c>
    </row>
    <row r="659" spans="1:3" x14ac:dyDescent="0.3">
      <c r="A659">
        <f>35.080508*(29979200000/1000000000)</f>
        <v>1051.6855654336</v>
      </c>
      <c r="B659">
        <v>0</v>
      </c>
      <c r="C659">
        <f>(-1*B659+1/EXP((Data!$K$58*2.54)*(Data!$V$60+Data!$V$61*($A659/1000)+Data!$V$62*($A659/1000)^2+Data!$V$63*($A659/1000)^3+Data!$V$64*($A659/1000)^4+Data!$V$65*($A659/1000)^5+Data!$V$66*($A659/1000)^6+Data!$V$67*($A659/1000)^7)))</f>
        <v>0.68454912846895988</v>
      </c>
    </row>
    <row r="660" spans="1:3" x14ac:dyDescent="0.3">
      <c r="A660">
        <f>35.130911*(29979200000/1000000000)</f>
        <v>1053.1966070512001</v>
      </c>
      <c r="B660">
        <v>2.2000000000000001E-4</v>
      </c>
      <c r="C660">
        <f>(-1*B660+1/EXP((Data!$K$58*2.54)*(Data!$V$60+Data!$V$61*($A660/1000)+Data!$V$62*($A660/1000)^2+Data!$V$63*($A660/1000)^3+Data!$V$64*($A660/1000)^4+Data!$V$65*($A660/1000)^5+Data!$V$66*($A660/1000)^6+Data!$V$67*($A660/1000)^7)))</f>
        <v>0.68422680081787113</v>
      </c>
    </row>
    <row r="661" spans="1:3" x14ac:dyDescent="0.3">
      <c r="A661">
        <f>35.181314*(29979200000/1000000000)</f>
        <v>1054.7076486687999</v>
      </c>
      <c r="B661">
        <v>4.8000000000000001E-4</v>
      </c>
      <c r="C661">
        <f>(-1*B661+1/EXP((Data!$K$58*2.54)*(Data!$V$60+Data!$V$61*($A661/1000)+Data!$V$62*($A661/1000)^2+Data!$V$63*($A661/1000)^3+Data!$V$64*($A661/1000)^4+Data!$V$65*($A661/1000)^5+Data!$V$66*($A661/1000)^6+Data!$V$67*($A661/1000)^7)))</f>
        <v>0.68386461614476546</v>
      </c>
    </row>
    <row r="662" spans="1:3" x14ac:dyDescent="0.3">
      <c r="A662">
        <f>35.231717*(29979200000/1000000000)</f>
        <v>1056.2186902864</v>
      </c>
      <c r="B662">
        <v>0</v>
      </c>
      <c r="C662">
        <f>(-1*B662+1/EXP((Data!$K$58*2.54)*(Data!$V$60+Data!$V$61*($A662/1000)+Data!$V$62*($A662/1000)^2+Data!$V$63*($A662/1000)^3+Data!$V$64*($A662/1000)^4+Data!$V$65*($A662/1000)^5+Data!$V$66*($A662/1000)^6+Data!$V$67*($A662/1000)^7)))</f>
        <v>0.68424257104549024</v>
      </c>
    </row>
    <row r="663" spans="1:3" x14ac:dyDescent="0.3">
      <c r="A663">
        <f>35.28212*(29979200000/1000000000)</f>
        <v>1057.7297319039999</v>
      </c>
      <c r="B663">
        <v>0</v>
      </c>
      <c r="C663">
        <f>(-1*B663+1/EXP((Data!$K$58*2.54)*(Data!$V$60+Data!$V$61*($A663/1000)+Data!$V$62*($A663/1000)^2+Data!$V$63*($A663/1000)^3+Data!$V$64*($A663/1000)^4+Data!$V$65*($A663/1000)^5+Data!$V$66*($A663/1000)^6+Data!$V$67*($A663/1000)^7)))</f>
        <v>0.684140662126553</v>
      </c>
    </row>
    <row r="664" spans="1:3" x14ac:dyDescent="0.3">
      <c r="A664">
        <f>35.332523*(29979200000/1000000000)</f>
        <v>1059.2407735216</v>
      </c>
      <c r="B664">
        <v>3.6999999999999999E-4</v>
      </c>
      <c r="C664">
        <f>(-1*B664+1/EXP((Data!$K$58*2.54)*(Data!$V$60+Data!$V$61*($A664/1000)+Data!$V$62*($A664/1000)^2+Data!$V$63*($A664/1000)^3+Data!$V$64*($A664/1000)^4+Data!$V$65*($A664/1000)^5+Data!$V$66*($A664/1000)^6+Data!$V$67*($A664/1000)^7)))</f>
        <v>0.68366888600516629</v>
      </c>
    </row>
    <row r="665" spans="1:3" x14ac:dyDescent="0.3">
      <c r="A665">
        <f>35.382926*(29979200000/1000000000)</f>
        <v>1060.7518151392001</v>
      </c>
      <c r="B665">
        <v>0</v>
      </c>
      <c r="C665">
        <f>(-1*B665+1/EXP((Data!$K$58*2.54)*(Data!$V$60+Data!$V$61*($A665/1000)+Data!$V$62*($A665/1000)^2+Data!$V$63*($A665/1000)^3+Data!$V$64*($A665/1000)^4+Data!$V$65*($A665/1000)^5+Data!$V$66*($A665/1000)^6+Data!$V$67*($A665/1000)^7)))</f>
        <v>0.68393723930928829</v>
      </c>
    </row>
    <row r="666" spans="1:3" x14ac:dyDescent="0.3">
      <c r="A666">
        <f>35.433329*(29979200000/1000000000)</f>
        <v>1062.2628567567999</v>
      </c>
      <c r="B666">
        <v>6.9999999999999999E-4</v>
      </c>
      <c r="C666">
        <f>(-1*B666+1/EXP((Data!$K$58*2.54)*(Data!$V$60+Data!$V$61*($A666/1000)+Data!$V$62*($A666/1000)^2+Data!$V$63*($A666/1000)^3+Data!$V$64*($A666/1000)^4+Data!$V$65*($A666/1000)^5+Data!$V$66*($A666/1000)^6+Data!$V$67*($A666/1000)^7)))</f>
        <v>0.68313571867766476</v>
      </c>
    </row>
    <row r="667" spans="1:3" x14ac:dyDescent="0.3">
      <c r="A667">
        <f>35.483732*(29979200000/1000000000)</f>
        <v>1063.7738983744</v>
      </c>
      <c r="B667">
        <v>1.2099999999999999E-3</v>
      </c>
      <c r="C667">
        <f>(-1*B667+1/EXP((Data!$K$58*2.54)*(Data!$V$60+Data!$V$61*($A667/1000)+Data!$V$62*($A667/1000)^2+Data!$V$63*($A667/1000)^3+Data!$V$64*($A667/1000)^4+Data!$V$65*($A667/1000)^5+Data!$V$66*($A667/1000)^6+Data!$V$67*($A667/1000)^7)))</f>
        <v>0.68252432075987168</v>
      </c>
    </row>
    <row r="668" spans="1:3" x14ac:dyDescent="0.3">
      <c r="A668">
        <f>35.534135*(29979200000/1000000000)</f>
        <v>1065.2849399919999</v>
      </c>
      <c r="B668">
        <v>3.5E-4</v>
      </c>
      <c r="C668">
        <f>(-1*B668+1/EXP((Data!$K$58*2.54)*(Data!$V$60+Data!$V$61*($A668/1000)+Data!$V$62*($A668/1000)^2+Data!$V$63*($A668/1000)^3+Data!$V$64*($A668/1000)^4+Data!$V$65*($A668/1000)^5+Data!$V$66*($A668/1000)^6+Data!$V$67*($A668/1000)^7)))</f>
        <v>0.68328304221635705</v>
      </c>
    </row>
    <row r="669" spans="1:3" x14ac:dyDescent="0.3">
      <c r="A669">
        <f>35.584538*(29979200000/1000000000)</f>
        <v>1066.7959816095999</v>
      </c>
      <c r="B669">
        <v>4.6999999999999999E-4</v>
      </c>
      <c r="C669">
        <f>(-1*B669+1/EXP((Data!$K$58*2.54)*(Data!$V$60+Data!$V$61*($A669/1000)+Data!$V$62*($A669/1000)^2+Data!$V$63*($A669/1000)^3+Data!$V$64*($A669/1000)^4+Data!$V$65*($A669/1000)^5+Data!$V$66*($A669/1000)^6+Data!$V$67*($A669/1000)^7)))</f>
        <v>0.68306187971848298</v>
      </c>
    </row>
    <row r="670" spans="1:3" x14ac:dyDescent="0.3">
      <c r="A670">
        <f>35.634941*(29979200000/1000000000)</f>
        <v>1068.3070232272</v>
      </c>
      <c r="B670">
        <v>3.8999999999999999E-4</v>
      </c>
      <c r="C670">
        <f>(-1*B670+1/EXP((Data!$K$58*2.54)*(Data!$V$60+Data!$V$61*($A670/1000)+Data!$V$62*($A670/1000)^2+Data!$V$63*($A670/1000)^3+Data!$V$64*($A670/1000)^4+Data!$V$65*($A670/1000)^5+Data!$V$66*($A670/1000)^6+Data!$V$67*($A670/1000)^7)))</f>
        <v>0.68304082994856796</v>
      </c>
    </row>
    <row r="671" spans="1:3" x14ac:dyDescent="0.3">
      <c r="A671">
        <f>35.685344*(29979200000/1000000000)</f>
        <v>1069.8180648447999</v>
      </c>
      <c r="B671">
        <v>2.2000000000000001E-4</v>
      </c>
      <c r="C671">
        <f>(-1*B671+1/EXP((Data!$K$58*2.54)*(Data!$V$60+Data!$V$61*($A671/1000)+Data!$V$62*($A671/1000)^2+Data!$V$63*($A671/1000)^3+Data!$V$64*($A671/1000)^4+Data!$V$65*($A671/1000)^5+Data!$V$66*($A671/1000)^6+Data!$V$67*($A671/1000)^7)))</f>
        <v>0.68310988959992924</v>
      </c>
    </row>
    <row r="672" spans="1:3" x14ac:dyDescent="0.3">
      <c r="A672">
        <f>35.735747*(29979200000/1000000000)</f>
        <v>1071.3291064624</v>
      </c>
      <c r="B672">
        <v>8.4000000000000003E-4</v>
      </c>
      <c r="C672">
        <f>(-1*B672+1/EXP((Data!$K$58*2.54)*(Data!$V$60+Data!$V$61*($A672/1000)+Data!$V$62*($A672/1000)^2+Data!$V$63*($A672/1000)^3+Data!$V$64*($A672/1000)^4+Data!$V$65*($A672/1000)^5+Data!$V$66*($A672/1000)^6+Data!$V$67*($A672/1000)^7)))</f>
        <v>0.68238905537692474</v>
      </c>
    </row>
    <row r="673" spans="1:3" x14ac:dyDescent="0.3">
      <c r="A673">
        <f>35.78615*(29979200000/1000000000)</f>
        <v>1072.8401480799998</v>
      </c>
      <c r="B673">
        <v>1.0499999999999999E-3</v>
      </c>
      <c r="C673">
        <f>(-1*B673+1/EXP((Data!$K$58*2.54)*(Data!$V$60+Data!$V$61*($A673/1000)+Data!$V$62*($A673/1000)^2+Data!$V$63*($A673/1000)^3+Data!$V$64*($A673/1000)^4+Data!$V$65*($A673/1000)^5+Data!$V$66*($A673/1000)^6+Data!$V$67*($A673/1000)^7)))</f>
        <v>0.68207832399499613</v>
      </c>
    </row>
    <row r="674" spans="1:3" x14ac:dyDescent="0.3">
      <c r="A674">
        <f>35.836553*(29979200000/1000000000)</f>
        <v>1074.3511896975999</v>
      </c>
      <c r="B674">
        <v>1.07E-3</v>
      </c>
      <c r="C674">
        <f>(-1*B674+1/EXP((Data!$K$58*2.54)*(Data!$V$60+Data!$V$61*($A674/1000)+Data!$V$62*($A674/1000)^2+Data!$V$63*($A674/1000)^3+Data!$V$64*($A674/1000)^4+Data!$V$65*($A674/1000)^5+Data!$V$66*($A674/1000)^6+Data!$V$67*($A674/1000)^7)))</f>
        <v>0.68195769218071056</v>
      </c>
    </row>
    <row r="675" spans="1:3" x14ac:dyDescent="0.3">
      <c r="A675">
        <f>35.886956*(29979200000/1000000000)</f>
        <v>1075.8622313152</v>
      </c>
      <c r="B675">
        <v>6.7000000000000002E-4</v>
      </c>
      <c r="C675">
        <f>(-1*B675+1/EXP((Data!$K$58*2.54)*(Data!$V$60+Data!$V$61*($A675/1000)+Data!$V$62*($A675/1000)^2+Data!$V$63*($A675/1000)^3+Data!$V$64*($A675/1000)^4+Data!$V$65*($A675/1000)^5+Data!$V$66*($A675/1000)^6+Data!$V$67*($A675/1000)^7)))</f>
        <v>0.68225715667180287</v>
      </c>
    </row>
    <row r="676" spans="1:3" x14ac:dyDescent="0.3">
      <c r="A676">
        <f>35.937359*(29979200000/1000000000)</f>
        <v>1077.3732729327999</v>
      </c>
      <c r="B676">
        <v>0</v>
      </c>
      <c r="C676">
        <f>(-1*B676+1/EXP((Data!$K$58*2.54)*(Data!$V$60+Data!$V$61*($A676/1000)+Data!$V$62*($A676/1000)^2+Data!$V$63*($A676/1000)^3+Data!$V$64*($A676/1000)^4+Data!$V$65*($A676/1000)^5+Data!$V$66*($A676/1000)^6+Data!$V$67*($A676/1000)^7)))</f>
        <v>0.6828267142172183</v>
      </c>
    </row>
    <row r="677" spans="1:3" x14ac:dyDescent="0.3">
      <c r="A677">
        <f>35.987762*(29979200000/1000000000)</f>
        <v>1078.8843145503999</v>
      </c>
      <c r="B677">
        <v>2.1000000000000001E-4</v>
      </c>
      <c r="C677">
        <f>(-1*B677+1/EXP((Data!$K$58*2.54)*(Data!$V$60+Data!$V$61*($A677/1000)+Data!$V$62*($A677/1000)^2+Data!$V$63*($A677/1000)^3+Data!$V$64*($A677/1000)^4+Data!$V$65*($A677/1000)^5+Data!$V$66*($A677/1000)^6+Data!$V$67*($A677/1000)^7)))</f>
        <v>0.68251636157715545</v>
      </c>
    </row>
    <row r="678" spans="1:3" x14ac:dyDescent="0.3">
      <c r="A678">
        <f>36.038165*(29979200000/1000000000)</f>
        <v>1080.395356168</v>
      </c>
      <c r="B678">
        <v>2.8600000000000001E-3</v>
      </c>
      <c r="C678">
        <f>(-1*B678+1/EXP((Data!$K$58*2.54)*(Data!$V$60+Data!$V$61*($A678/1000)+Data!$V$62*($A678/1000)^2+Data!$V$63*($A678/1000)^3+Data!$V$64*($A678/1000)^4+Data!$V$65*($A678/1000)^5+Data!$V$66*($A678/1000)^6+Data!$V$67*($A678/1000)^7)))</f>
        <v>0.67976609552310796</v>
      </c>
    </row>
    <row r="679" spans="1:3" x14ac:dyDescent="0.3">
      <c r="A679">
        <v>1100</v>
      </c>
      <c r="B679">
        <v>0</v>
      </c>
      <c r="C679">
        <f>(-1*B679+1/EXP((Data!$K$58*2.54)*(Data!$V$60+Data!$V$61*($A679/1000)+Data!$V$62*($A679/1000)^2+Data!$V$63*($A679/1000)^3+Data!$V$64*($A679/1000)^4+Data!$V$65*($A679/1000)^5+Data!$V$66*($A679/1000)^6+Data!$V$67*($A679/1000)^7)))</f>
        <v>0.68133162695006766</v>
      </c>
    </row>
    <row r="680" spans="1:3" x14ac:dyDescent="0.3">
      <c r="A680">
        <v>1200</v>
      </c>
      <c r="B680">
        <v>0</v>
      </c>
      <c r="C680">
        <f>(-1*B680+1/EXP((Data!$K$58*2.54)*(Data!$V$60+Data!$V$61*($A680/1000)+Data!$V$62*($A680/1000)^2+Data!$V$63*($A680/1000)^3+Data!$V$64*($A680/1000)^4+Data!$V$65*($A680/1000)^5+Data!$V$66*($A680/1000)^6+Data!$V$67*($A680/1000)^7)))</f>
        <v>0.67470843304049621</v>
      </c>
    </row>
    <row r="681" spans="1:3" x14ac:dyDescent="0.3">
      <c r="A681">
        <v>1300</v>
      </c>
      <c r="B681">
        <v>0</v>
      </c>
      <c r="C681">
        <f>(-1*B681+1/EXP((Data!$K$58*2.54)*(Data!$V$60+Data!$V$61*($A681/1000)+Data!$V$62*($A681/1000)^2+Data!$V$63*($A681/1000)^3+Data!$V$64*($A681/1000)^4+Data!$V$65*($A681/1000)^5+Data!$V$66*($A681/1000)^6+Data!$V$67*($A681/1000)^7)))</f>
        <v>0.66753170578777132</v>
      </c>
    </row>
    <row r="682" spans="1:3" x14ac:dyDescent="0.3">
      <c r="A682">
        <v>1400</v>
      </c>
      <c r="B682">
        <v>0</v>
      </c>
      <c r="C682">
        <f>(-1*B682+1/EXP((Data!$K$58*2.54)*(Data!$V$60+Data!$V$61*($A682/1000)+Data!$V$62*($A682/1000)^2+Data!$V$63*($A682/1000)^3+Data!$V$64*($A682/1000)^4+Data!$V$65*($A682/1000)^5+Data!$V$66*($A682/1000)^6+Data!$V$67*($A682/1000)^7)))</f>
        <v>0.65931944562577949</v>
      </c>
    </row>
    <row r="683" spans="1:3" x14ac:dyDescent="0.3">
      <c r="A683">
        <v>1500</v>
      </c>
      <c r="B683">
        <v>0</v>
      </c>
      <c r="C683">
        <f>(-1*B683+1/EXP((Data!$K$58*2.54)*(Data!$V$60+Data!$V$61*($A683/1000)+Data!$V$62*($A683/1000)^2+Data!$V$63*($A683/1000)^3+Data!$V$64*($A683/1000)^4+Data!$V$65*($A683/1000)^5+Data!$V$66*($A683/1000)^6+Data!$V$67*($A683/1000)^7)))</f>
        <v>0.64990136673373766</v>
      </c>
    </row>
    <row r="684" spans="1:3" x14ac:dyDescent="0.3">
      <c r="A684">
        <v>1600</v>
      </c>
      <c r="B684">
        <v>0</v>
      </c>
      <c r="C684">
        <f>(-1*B684+1/EXP((Data!$K$58*2.54)*(Data!$V$60+Data!$V$61*($A684/1000)+Data!$V$62*($A684/1000)^2+Data!$V$63*($A684/1000)^3+Data!$V$64*($A684/1000)^4+Data!$V$65*($A684/1000)^5+Data!$V$66*($A684/1000)^6+Data!$V$67*($A684/1000)^7)))</f>
        <v>0.63942725118098553</v>
      </c>
    </row>
    <row r="685" spans="1:3" x14ac:dyDescent="0.3">
      <c r="A685">
        <v>1700</v>
      </c>
      <c r="B685">
        <v>0</v>
      </c>
      <c r="C685">
        <f>(-1*B685+1/EXP((Data!$K$58*2.54)*(Data!$V$60+Data!$V$61*($A685/1000)+Data!$V$62*($A685/1000)^2+Data!$V$63*($A685/1000)^3+Data!$V$64*($A685/1000)^4+Data!$V$65*($A685/1000)^5+Data!$V$66*($A685/1000)^6+Data!$V$67*($A685/1000)^7)))</f>
        <v>0.62834312639030288</v>
      </c>
    </row>
    <row r="686" spans="1:3" x14ac:dyDescent="0.3">
      <c r="A686">
        <v>1800</v>
      </c>
      <c r="B686">
        <v>0</v>
      </c>
      <c r="C686">
        <f>(-1*B686+1/EXP((Data!$K$58*2.54)*(Data!$V$60+Data!$V$61*($A686/1000)+Data!$V$62*($A686/1000)^2+Data!$V$63*($A686/1000)^3+Data!$V$64*($A686/1000)^4+Data!$V$65*($A686/1000)^5+Data!$V$66*($A686/1000)^6+Data!$V$67*($A686/1000)^7)))</f>
        <v>0.61733538451200309</v>
      </c>
    </row>
    <row r="687" spans="1:3" x14ac:dyDescent="0.3">
      <c r="A687">
        <v>1900</v>
      </c>
      <c r="B687">
        <v>0</v>
      </c>
      <c r="C687">
        <f>(-1*B687+1/EXP((Data!$K$58*2.54)*(Data!$V$60+Data!$V$61*($A687/1000)+Data!$V$62*($A687/1000)^2+Data!$V$63*($A687/1000)^3+Data!$V$64*($A687/1000)^4+Data!$V$65*($A687/1000)^5+Data!$V$66*($A687/1000)^6+Data!$V$67*($A687/1000)^7)))</f>
        <v>0.6072484068418077</v>
      </c>
    </row>
    <row r="688" spans="1:3" x14ac:dyDescent="0.3">
      <c r="A688">
        <v>2000</v>
      </c>
      <c r="B688">
        <v>0</v>
      </c>
      <c r="C688">
        <f>(-1*B688+1/EXP((Data!$K$58*2.54)*(Data!$V$60+Data!$V$61*($A688/1000)+Data!$V$62*($A688/1000)^2+Data!$V$63*($A688/1000)^3+Data!$V$64*($A688/1000)^4+Data!$V$65*($A688/1000)^5+Data!$V$66*($A688/1000)^6+Data!$V$67*($A688/1000)^7)))</f>
        <v>0.59898306678121482</v>
      </c>
    </row>
    <row r="689" spans="1:3" x14ac:dyDescent="0.3">
      <c r="A689">
        <v>2100</v>
      </c>
      <c r="B689">
        <v>0</v>
      </c>
      <c r="C689">
        <f>(-1*B689+1/EXP((Data!$K$58*2.54)*(Data!$V$60+Data!$V$61*($A689/1000)+Data!$V$62*($A689/1000)^2+Data!$V$63*($A689/1000)^3+Data!$V$64*($A689/1000)^4+Data!$V$65*($A689/1000)^5+Data!$V$66*($A689/1000)^6+Data!$V$67*($A689/1000)^7)))</f>
        <v>0.59337990813078334</v>
      </c>
    </row>
    <row r="690" spans="1:3" x14ac:dyDescent="0.3">
      <c r="A690">
        <v>2200</v>
      </c>
      <c r="B690">
        <v>0</v>
      </c>
      <c r="C690">
        <f>(-1*B690+1/EXP((Data!$K$58*2.54)*(Data!$V$60+Data!$V$61*($A690/1000)+Data!$V$62*($A690/1000)^2+Data!$V$63*($A690/1000)^3+Data!$V$64*($A690/1000)^4+Data!$V$65*($A690/1000)^5+Data!$V$66*($A690/1000)^6+Data!$V$67*($A690/1000)^7)))</f>
        <v>0.59108155081820024</v>
      </c>
    </row>
    <row r="691" spans="1:3" x14ac:dyDescent="0.3">
      <c r="A691">
        <v>2300</v>
      </c>
      <c r="B691">
        <v>0</v>
      </c>
      <c r="C691">
        <f>(-1*B691+1/EXP((Data!$K$58*2.54)*(Data!$V$60+Data!$V$61*($A691/1000)+Data!$V$62*($A691/1000)^2+Data!$V$63*($A691/1000)^3+Data!$V$64*($A691/1000)^4+Data!$V$65*($A691/1000)^5+Data!$V$66*($A691/1000)^6+Data!$V$67*($A691/1000)^7)))</f>
        <v>0.59235539717549357</v>
      </c>
    </row>
    <row r="692" spans="1:3" x14ac:dyDescent="0.3">
      <c r="A692">
        <v>2400</v>
      </c>
      <c r="B692">
        <v>0</v>
      </c>
      <c r="C692">
        <f>(-1*B692+1/EXP((Data!$K$58*2.54)*(Data!$V$60+Data!$V$61*($A692/1000)+Data!$V$62*($A692/1000)^2+Data!$V$63*($A692/1000)^3+Data!$V$64*($A692/1000)^4+Data!$V$65*($A692/1000)^5+Data!$V$66*($A692/1000)^6+Data!$V$67*($A692/1000)^7)))</f>
        <v>0.59684387057048527</v>
      </c>
    </row>
    <row r="693" spans="1:3" x14ac:dyDescent="0.3">
      <c r="A693">
        <v>2500</v>
      </c>
      <c r="B693">
        <v>0</v>
      </c>
      <c r="C693">
        <f>(-1*B693+1/EXP((Data!$K$58*2.54)*(Data!$V$60+Data!$V$61*($A693/1000)+Data!$V$62*($A693/1000)^2+Data!$V$63*($A693/1000)^3+Data!$V$64*($A693/1000)^4+Data!$V$65*($A693/1000)^5+Data!$V$66*($A693/1000)^6+Data!$V$67*($A693/1000)^7)))</f>
        <v>0.60320428318457442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2" sqref="A2"/>
    </sheetView>
  </sheetViews>
  <sheetFormatPr defaultRowHeight="14.4" x14ac:dyDescent="0.3"/>
  <sheetData>
    <row r="1" spans="1:2" x14ac:dyDescent="0.3">
      <c r="A1" t="s">
        <v>0</v>
      </c>
    </row>
    <row r="2" spans="1:2" x14ac:dyDescent="0.3">
      <c r="A2">
        <f>29979200000/1000000000</f>
        <v>29.979199999999999</v>
      </c>
      <c r="B2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8"/>
  <sheetViews>
    <sheetView workbookViewId="0">
      <selection activeCell="A2" sqref="A2:D2"/>
    </sheetView>
  </sheetViews>
  <sheetFormatPr defaultRowHeight="14.4" x14ac:dyDescent="0.3"/>
  <sheetData>
    <row r="1" spans="1:3" x14ac:dyDescent="0.3">
      <c r="A1" t="s">
        <v>2</v>
      </c>
    </row>
    <row r="2" spans="1:3" x14ac:dyDescent="0.3">
      <c r="A2" t="s">
        <v>52</v>
      </c>
      <c r="B2" t="s">
        <v>59</v>
      </c>
      <c r="C2" t="s">
        <v>60</v>
      </c>
    </row>
    <row r="3" spans="1:3" x14ac:dyDescent="0.3">
      <c r="A3">
        <v>60</v>
      </c>
      <c r="B3">
        <v>0.98499999999999999</v>
      </c>
      <c r="C3">
        <v>0.01</v>
      </c>
    </row>
    <row r="4" spans="1:3" x14ac:dyDescent="0.3">
      <c r="A4">
        <v>65</v>
      </c>
      <c r="B4">
        <v>0.98499999999999999</v>
      </c>
      <c r="C4">
        <v>0.01</v>
      </c>
    </row>
    <row r="5" spans="1:3" x14ac:dyDescent="0.3">
      <c r="A5">
        <v>70</v>
      </c>
      <c r="B5">
        <v>0.98499999999999999</v>
      </c>
      <c r="C5">
        <v>0.01</v>
      </c>
    </row>
    <row r="6" spans="1:3" x14ac:dyDescent="0.3">
      <c r="A6">
        <v>72</v>
      </c>
      <c r="B6">
        <v>0.98499999999999999</v>
      </c>
      <c r="C6">
        <v>0.01</v>
      </c>
    </row>
    <row r="7" spans="1:3" x14ac:dyDescent="0.3">
      <c r="A7">
        <v>74</v>
      </c>
      <c r="B7">
        <v>0.98499999999999999</v>
      </c>
      <c r="C7">
        <v>0.01</v>
      </c>
    </row>
    <row r="8" spans="1:3" x14ac:dyDescent="0.3">
      <c r="A8">
        <v>76</v>
      </c>
      <c r="B8">
        <v>0.98499999999999999</v>
      </c>
      <c r="C8">
        <v>0.01</v>
      </c>
    </row>
    <row r="9" spans="1:3" x14ac:dyDescent="0.3">
      <c r="A9">
        <v>78</v>
      </c>
      <c r="B9">
        <v>0.98499999999999999</v>
      </c>
      <c r="C9">
        <v>0.01</v>
      </c>
    </row>
    <row r="10" spans="1:3" x14ac:dyDescent="0.3">
      <c r="A10">
        <v>80</v>
      </c>
      <c r="B10">
        <v>0.98499999999999999</v>
      </c>
      <c r="C10">
        <v>0.01</v>
      </c>
    </row>
    <row r="11" spans="1:3" x14ac:dyDescent="0.3">
      <c r="A11">
        <v>82</v>
      </c>
      <c r="B11">
        <v>0.98499999999999999</v>
      </c>
      <c r="C11">
        <v>0.01</v>
      </c>
    </row>
    <row r="12" spans="1:3" x14ac:dyDescent="0.3">
      <c r="A12">
        <v>84</v>
      </c>
      <c r="B12">
        <v>0.98499999999999999</v>
      </c>
      <c r="C12">
        <v>0.01</v>
      </c>
    </row>
    <row r="13" spans="1:3" x14ac:dyDescent="0.3">
      <c r="A13">
        <v>86</v>
      </c>
      <c r="B13">
        <v>0.98499999999999999</v>
      </c>
      <c r="C13">
        <v>0.01</v>
      </c>
    </row>
    <row r="14" spans="1:3" x14ac:dyDescent="0.3">
      <c r="A14">
        <v>88</v>
      </c>
      <c r="B14">
        <v>0.98499999999999999</v>
      </c>
      <c r="C14">
        <v>0.01</v>
      </c>
    </row>
    <row r="15" spans="1:3" x14ac:dyDescent="0.3">
      <c r="A15">
        <v>90</v>
      </c>
      <c r="B15">
        <v>0.98499999999999999</v>
      </c>
      <c r="C15">
        <v>0.01</v>
      </c>
    </row>
    <row r="16" spans="1:3" x14ac:dyDescent="0.3">
      <c r="A16">
        <v>92</v>
      </c>
      <c r="B16">
        <v>0.98499999999999999</v>
      </c>
      <c r="C16">
        <v>0.01</v>
      </c>
    </row>
    <row r="17" spans="1:3" x14ac:dyDescent="0.3">
      <c r="A17">
        <v>94</v>
      </c>
      <c r="B17">
        <v>0.98499999999999999</v>
      </c>
      <c r="C17">
        <v>0.01</v>
      </c>
    </row>
    <row r="18" spans="1:3" x14ac:dyDescent="0.3">
      <c r="A18">
        <v>96</v>
      </c>
      <c r="B18">
        <v>0.98499999999999999</v>
      </c>
      <c r="C18">
        <v>0.01</v>
      </c>
    </row>
    <row r="19" spans="1:3" x14ac:dyDescent="0.3">
      <c r="A19">
        <v>98</v>
      </c>
      <c r="B19">
        <v>0.98499999999999999</v>
      </c>
      <c r="C19">
        <v>0.01</v>
      </c>
    </row>
    <row r="20" spans="1:3" x14ac:dyDescent="0.3">
      <c r="A20">
        <v>100</v>
      </c>
      <c r="B20">
        <v>0.98499999999999999</v>
      </c>
      <c r="C20">
        <v>0.01</v>
      </c>
    </row>
    <row r="21" spans="1:3" x14ac:dyDescent="0.3">
      <c r="A21">
        <v>102</v>
      </c>
      <c r="B21">
        <v>0.98499999999999999</v>
      </c>
      <c r="C21">
        <v>0.01</v>
      </c>
    </row>
    <row r="22" spans="1:3" x14ac:dyDescent="0.3">
      <c r="A22">
        <v>104</v>
      </c>
      <c r="B22">
        <v>0.98499999999999999</v>
      </c>
      <c r="C22">
        <v>0.01</v>
      </c>
    </row>
    <row r="23" spans="1:3" x14ac:dyDescent="0.3">
      <c r="A23">
        <v>106</v>
      </c>
      <c r="B23">
        <v>0.98499999999999999</v>
      </c>
      <c r="C23">
        <v>0.01</v>
      </c>
    </row>
    <row r="24" spans="1:3" x14ac:dyDescent="0.3">
      <c r="A24">
        <v>108</v>
      </c>
      <c r="B24">
        <v>0.98499999999999999</v>
      </c>
      <c r="C24">
        <v>0.01</v>
      </c>
    </row>
    <row r="25" spans="1:3" x14ac:dyDescent="0.3">
      <c r="A25">
        <v>110</v>
      </c>
      <c r="B25">
        <v>0.98499999999999999</v>
      </c>
      <c r="C25">
        <v>0.01</v>
      </c>
    </row>
    <row r="26" spans="1:3" x14ac:dyDescent="0.3">
      <c r="A26">
        <v>112</v>
      </c>
      <c r="B26">
        <v>0.98499999999999999</v>
      </c>
      <c r="C26">
        <v>0.01</v>
      </c>
    </row>
    <row r="27" spans="1:3" x14ac:dyDescent="0.3">
      <c r="A27">
        <v>114</v>
      </c>
      <c r="B27">
        <v>0.98499999999999999</v>
      </c>
      <c r="C27">
        <v>0.01</v>
      </c>
    </row>
    <row r="28" spans="1:3" x14ac:dyDescent="0.3">
      <c r="A28">
        <v>116</v>
      </c>
      <c r="B28">
        <v>0.98499999999999999</v>
      </c>
      <c r="C28">
        <v>0.01</v>
      </c>
    </row>
    <row r="29" spans="1:3" x14ac:dyDescent="0.3">
      <c r="A29">
        <v>118</v>
      </c>
      <c r="B29">
        <v>0.98499999999999999</v>
      </c>
      <c r="C29">
        <v>0.01</v>
      </c>
    </row>
    <row r="30" spans="1:3" x14ac:dyDescent="0.3">
      <c r="A30">
        <v>120</v>
      </c>
      <c r="B30">
        <v>0.98499999999999999</v>
      </c>
      <c r="C30">
        <v>0.01</v>
      </c>
    </row>
    <row r="31" spans="1:3" x14ac:dyDescent="0.3">
      <c r="A31">
        <v>130</v>
      </c>
      <c r="B31">
        <v>0.98499999999999999</v>
      </c>
      <c r="C31">
        <v>0.01</v>
      </c>
    </row>
    <row r="32" spans="1:3" x14ac:dyDescent="0.3">
      <c r="A32">
        <v>140</v>
      </c>
      <c r="B32">
        <v>0.98499999999999999</v>
      </c>
      <c r="C32">
        <v>0.01</v>
      </c>
    </row>
    <row r="33" spans="1:3" x14ac:dyDescent="0.3">
      <c r="A33">
        <v>150</v>
      </c>
      <c r="B33">
        <v>0.98499999999999999</v>
      </c>
      <c r="C33">
        <v>0.01</v>
      </c>
    </row>
    <row r="34" spans="1:3" x14ac:dyDescent="0.3">
      <c r="A34">
        <v>160</v>
      </c>
      <c r="B34">
        <v>0.98499999999999999</v>
      </c>
      <c r="C34">
        <v>0.01</v>
      </c>
    </row>
    <row r="35" spans="1:3" x14ac:dyDescent="0.3">
      <c r="A35">
        <v>170</v>
      </c>
      <c r="B35">
        <v>0.98499999999999999</v>
      </c>
      <c r="C35">
        <v>0.01</v>
      </c>
    </row>
    <row r="36" spans="1:3" x14ac:dyDescent="0.3">
      <c r="A36">
        <v>180</v>
      </c>
      <c r="B36">
        <v>0.98499999999999999</v>
      </c>
      <c r="C36">
        <v>0.01</v>
      </c>
    </row>
    <row r="37" spans="1:3" x14ac:dyDescent="0.3">
      <c r="A37">
        <v>190</v>
      </c>
      <c r="B37">
        <v>0.98499999999999999</v>
      </c>
      <c r="C37">
        <v>0.01</v>
      </c>
    </row>
    <row r="38" spans="1:3" x14ac:dyDescent="0.3">
      <c r="A38">
        <v>200</v>
      </c>
      <c r="B38">
        <v>0.98499999999999999</v>
      </c>
      <c r="C38">
        <v>0.01</v>
      </c>
    </row>
    <row r="39" spans="1:3" x14ac:dyDescent="0.3">
      <c r="A39">
        <v>210</v>
      </c>
      <c r="B39">
        <v>0.98499999999999999</v>
      </c>
      <c r="C39">
        <v>0.01</v>
      </c>
    </row>
    <row r="40" spans="1:3" x14ac:dyDescent="0.3">
      <c r="A40">
        <v>220</v>
      </c>
      <c r="B40">
        <v>0.98499999999999999</v>
      </c>
      <c r="C40">
        <v>0.01</v>
      </c>
    </row>
    <row r="41" spans="1:3" x14ac:dyDescent="0.3">
      <c r="A41">
        <v>230</v>
      </c>
      <c r="B41">
        <v>0.98499999999999999</v>
      </c>
      <c r="C41">
        <v>0.01</v>
      </c>
    </row>
    <row r="42" spans="1:3" x14ac:dyDescent="0.3">
      <c r="A42">
        <v>240</v>
      </c>
      <c r="B42">
        <v>0.98499999999999999</v>
      </c>
      <c r="C42">
        <v>0.01</v>
      </c>
    </row>
    <row r="43" spans="1:3" x14ac:dyDescent="0.3">
      <c r="A43">
        <v>250</v>
      </c>
      <c r="B43">
        <v>0.98499999999999999</v>
      </c>
      <c r="C43">
        <v>0.01</v>
      </c>
    </row>
    <row r="44" spans="1:3" x14ac:dyDescent="0.3">
      <c r="A44">
        <v>300</v>
      </c>
      <c r="B44">
        <v>0.98499999999999999</v>
      </c>
      <c r="C44">
        <v>0.01</v>
      </c>
    </row>
    <row r="45" spans="1:3" x14ac:dyDescent="0.3">
      <c r="A45">
        <v>350</v>
      </c>
      <c r="B45">
        <v>0.98499999999999999</v>
      </c>
      <c r="C45">
        <v>0.01</v>
      </c>
    </row>
    <row r="46" spans="1:3" x14ac:dyDescent="0.3">
      <c r="A46">
        <v>400</v>
      </c>
      <c r="B46">
        <v>0.98499999999999999</v>
      </c>
      <c r="C46">
        <v>0.01</v>
      </c>
    </row>
    <row r="47" spans="1:3" x14ac:dyDescent="0.3">
      <c r="A47">
        <v>450</v>
      </c>
      <c r="B47">
        <v>0.98499999999999999</v>
      </c>
      <c r="C47">
        <v>0.01</v>
      </c>
    </row>
    <row r="48" spans="1:3" x14ac:dyDescent="0.3">
      <c r="A48">
        <v>500</v>
      </c>
      <c r="B48">
        <v>0.98499999999999999</v>
      </c>
      <c r="C48">
        <v>0.01</v>
      </c>
    </row>
    <row r="49" spans="1:3" x14ac:dyDescent="0.3">
      <c r="A49">
        <v>550</v>
      </c>
      <c r="B49">
        <v>0.98499999999999999</v>
      </c>
      <c r="C49">
        <v>0.01</v>
      </c>
    </row>
    <row r="50" spans="1:3" x14ac:dyDescent="0.3">
      <c r="A50">
        <v>600</v>
      </c>
      <c r="B50">
        <v>0.98499999999999999</v>
      </c>
      <c r="C50">
        <v>0.01</v>
      </c>
    </row>
    <row r="51" spans="1:3" x14ac:dyDescent="0.3">
      <c r="A51">
        <v>650</v>
      </c>
      <c r="B51">
        <v>0.98499999999999999</v>
      </c>
      <c r="C51">
        <v>0.01</v>
      </c>
    </row>
    <row r="52" spans="1:3" x14ac:dyDescent="0.3">
      <c r="A52">
        <v>700</v>
      </c>
      <c r="B52">
        <v>0.98499999999999999</v>
      </c>
      <c r="C52">
        <v>0.01</v>
      </c>
    </row>
    <row r="53" spans="1:3" x14ac:dyDescent="0.3">
      <c r="A53">
        <v>750</v>
      </c>
      <c r="B53">
        <v>0.98499999999999999</v>
      </c>
      <c r="C53">
        <v>0.01</v>
      </c>
    </row>
    <row r="54" spans="1:3" x14ac:dyDescent="0.3">
      <c r="A54">
        <v>800</v>
      </c>
      <c r="B54">
        <v>0.98499999999999999</v>
      </c>
      <c r="C54">
        <v>0.01</v>
      </c>
    </row>
    <row r="55" spans="1:3" x14ac:dyDescent="0.3">
      <c r="A55">
        <v>850</v>
      </c>
      <c r="B55">
        <v>0.98499999999999999</v>
      </c>
      <c r="C55">
        <v>0.01</v>
      </c>
    </row>
    <row r="56" spans="1:3" x14ac:dyDescent="0.3">
      <c r="A56">
        <v>900</v>
      </c>
      <c r="B56">
        <v>0.98499999999999999</v>
      </c>
      <c r="C56">
        <v>0.01</v>
      </c>
    </row>
    <row r="57" spans="1:3" x14ac:dyDescent="0.3">
      <c r="A57">
        <v>950</v>
      </c>
      <c r="B57">
        <v>0.98499999999999999</v>
      </c>
      <c r="C57">
        <v>0.01</v>
      </c>
    </row>
    <row r="58" spans="1:3" x14ac:dyDescent="0.3">
      <c r="A58">
        <v>1000</v>
      </c>
      <c r="B58">
        <v>0.98499999999999999</v>
      </c>
      <c r="C58">
        <v>0.01</v>
      </c>
    </row>
    <row r="59" spans="1:3" x14ac:dyDescent="0.3">
      <c r="A59">
        <v>1050</v>
      </c>
      <c r="B59">
        <v>0.98499999999999999</v>
      </c>
      <c r="C59">
        <v>0.01</v>
      </c>
    </row>
    <row r="60" spans="1:3" x14ac:dyDescent="0.3">
      <c r="A60">
        <v>1100</v>
      </c>
      <c r="B60">
        <v>0.98499999999999999</v>
      </c>
      <c r="C60">
        <v>0.01</v>
      </c>
    </row>
    <row r="61" spans="1:3" x14ac:dyDescent="0.3">
      <c r="A61">
        <v>1150</v>
      </c>
      <c r="B61">
        <v>0.98499999999999999</v>
      </c>
      <c r="C61">
        <v>0.01</v>
      </c>
    </row>
    <row r="62" spans="1:3" x14ac:dyDescent="0.3">
      <c r="A62">
        <v>1200</v>
      </c>
      <c r="B62">
        <v>0.98499999999999999</v>
      </c>
      <c r="C62">
        <v>0.01</v>
      </c>
    </row>
    <row r="63" spans="1:3" x14ac:dyDescent="0.3">
      <c r="A63">
        <v>1250</v>
      </c>
      <c r="B63">
        <v>0.98499999999999999</v>
      </c>
      <c r="C63">
        <v>0.01</v>
      </c>
    </row>
    <row r="64" spans="1:3" x14ac:dyDescent="0.3">
      <c r="A64">
        <v>1300</v>
      </c>
      <c r="B64">
        <v>0.98499999999999999</v>
      </c>
      <c r="C64">
        <v>0.01</v>
      </c>
    </row>
    <row r="65" spans="1:3" x14ac:dyDescent="0.3">
      <c r="A65">
        <v>1350</v>
      </c>
      <c r="B65">
        <v>0.98499999999999999</v>
      </c>
      <c r="C65">
        <v>0.01</v>
      </c>
    </row>
    <row r="66" spans="1:3" x14ac:dyDescent="0.3">
      <c r="A66">
        <v>1400</v>
      </c>
      <c r="B66">
        <v>0.98499999999999999</v>
      </c>
      <c r="C66">
        <v>0.01</v>
      </c>
    </row>
    <row r="67" spans="1:3" x14ac:dyDescent="0.3">
      <c r="A67">
        <v>1450</v>
      </c>
      <c r="B67">
        <v>0.98499999999999999</v>
      </c>
      <c r="C67">
        <v>0.01</v>
      </c>
    </row>
    <row r="68" spans="1:3" x14ac:dyDescent="0.3">
      <c r="A68">
        <v>1500</v>
      </c>
      <c r="B68">
        <v>0.98499999999999999</v>
      </c>
      <c r="C68">
        <v>0.01</v>
      </c>
    </row>
    <row r="69" spans="1:3" x14ac:dyDescent="0.3">
      <c r="A69">
        <v>1550</v>
      </c>
      <c r="B69">
        <v>0.98499999999999999</v>
      </c>
      <c r="C69">
        <v>0.01</v>
      </c>
    </row>
    <row r="70" spans="1:3" x14ac:dyDescent="0.3">
      <c r="A70">
        <v>1600</v>
      </c>
      <c r="B70">
        <v>0.98499999999999999</v>
      </c>
      <c r="C70">
        <v>0.01</v>
      </c>
    </row>
    <row r="71" spans="1:3" x14ac:dyDescent="0.3">
      <c r="A71">
        <v>1650</v>
      </c>
      <c r="B71">
        <v>0.98499999999999999</v>
      </c>
      <c r="C71">
        <v>0.01</v>
      </c>
    </row>
    <row r="72" spans="1:3" x14ac:dyDescent="0.3">
      <c r="A72">
        <v>1700</v>
      </c>
      <c r="B72">
        <v>0.98499999999999999</v>
      </c>
      <c r="C72">
        <v>0.01</v>
      </c>
    </row>
    <row r="73" spans="1:3" x14ac:dyDescent="0.3">
      <c r="A73">
        <v>1750</v>
      </c>
      <c r="B73">
        <v>0.98499999999999999</v>
      </c>
      <c r="C73">
        <v>0.01</v>
      </c>
    </row>
    <row r="74" spans="1:3" x14ac:dyDescent="0.3">
      <c r="A74">
        <v>1800</v>
      </c>
      <c r="B74">
        <v>0.98499999999999999</v>
      </c>
      <c r="C74">
        <v>0.01</v>
      </c>
    </row>
    <row r="75" spans="1:3" x14ac:dyDescent="0.3">
      <c r="A75">
        <v>1850</v>
      </c>
      <c r="B75">
        <v>0.98499999999999999</v>
      </c>
      <c r="C75">
        <v>0.01</v>
      </c>
    </row>
    <row r="76" spans="1:3" x14ac:dyDescent="0.3">
      <c r="A76">
        <v>1900</v>
      </c>
      <c r="B76">
        <v>0.98499999999999999</v>
      </c>
      <c r="C76">
        <v>0.01</v>
      </c>
    </row>
    <row r="77" spans="1:3" x14ac:dyDescent="0.3">
      <c r="A77">
        <v>1950</v>
      </c>
      <c r="B77">
        <v>0.98499999999999999</v>
      </c>
      <c r="C77">
        <v>0.01</v>
      </c>
    </row>
    <row r="78" spans="1:3" x14ac:dyDescent="0.3">
      <c r="A78">
        <v>2000</v>
      </c>
      <c r="B78">
        <v>0.98499999999999999</v>
      </c>
      <c r="C78">
        <v>0.01</v>
      </c>
    </row>
    <row r="79" spans="1:3" x14ac:dyDescent="0.3">
      <c r="A79">
        <v>2050</v>
      </c>
      <c r="B79">
        <v>0.98499999999999999</v>
      </c>
      <c r="C79">
        <v>0.01</v>
      </c>
    </row>
    <row r="80" spans="1:3" x14ac:dyDescent="0.3">
      <c r="A80">
        <v>2100</v>
      </c>
      <c r="B80">
        <v>0.98499999999999999</v>
      </c>
      <c r="C80">
        <v>0.01</v>
      </c>
    </row>
    <row r="81" spans="1:3" x14ac:dyDescent="0.3">
      <c r="A81">
        <v>2150</v>
      </c>
      <c r="B81">
        <v>0.98499999999999999</v>
      </c>
      <c r="C81">
        <v>0.01</v>
      </c>
    </row>
    <row r="82" spans="1:3" x14ac:dyDescent="0.3">
      <c r="A82">
        <v>2200</v>
      </c>
      <c r="B82">
        <v>0.98499999999999999</v>
      </c>
      <c r="C82">
        <v>0.01</v>
      </c>
    </row>
    <row r="83" spans="1:3" x14ac:dyDescent="0.3">
      <c r="A83">
        <v>2250</v>
      </c>
      <c r="B83">
        <v>0.98499999999999999</v>
      </c>
      <c r="C83">
        <v>0.01</v>
      </c>
    </row>
    <row r="84" spans="1:3" x14ac:dyDescent="0.3">
      <c r="A84">
        <v>2300</v>
      </c>
      <c r="B84">
        <v>0.98499999999999999</v>
      </c>
      <c r="C84">
        <v>0.01</v>
      </c>
    </row>
    <row r="85" spans="1:3" x14ac:dyDescent="0.3">
      <c r="A85">
        <v>2350</v>
      </c>
      <c r="B85">
        <v>0.98499999999999999</v>
      </c>
      <c r="C85">
        <v>0.01</v>
      </c>
    </row>
    <row r="86" spans="1:3" x14ac:dyDescent="0.3">
      <c r="A86">
        <v>2400</v>
      </c>
      <c r="B86">
        <v>0.98499999999999999</v>
      </c>
      <c r="C86">
        <v>0.01</v>
      </c>
    </row>
    <row r="87" spans="1:3" x14ac:dyDescent="0.3">
      <c r="A87">
        <v>2450</v>
      </c>
      <c r="B87">
        <v>0.98499999999999999</v>
      </c>
      <c r="C87">
        <v>0.01</v>
      </c>
    </row>
    <row r="88" spans="1:3" x14ac:dyDescent="0.3">
      <c r="A88">
        <v>2500</v>
      </c>
      <c r="B88">
        <v>0.98499999999999999</v>
      </c>
      <c r="C88">
        <v>0.01</v>
      </c>
    </row>
    <row r="89" spans="1:3" x14ac:dyDescent="0.3">
      <c r="A89">
        <v>2550</v>
      </c>
      <c r="B89">
        <v>0.98499999999999999</v>
      </c>
      <c r="C89">
        <v>0.01</v>
      </c>
    </row>
    <row r="90" spans="1:3" x14ac:dyDescent="0.3">
      <c r="A90">
        <v>2600</v>
      </c>
      <c r="B90">
        <v>0.98499999999999999</v>
      </c>
      <c r="C90">
        <v>0.01</v>
      </c>
    </row>
    <row r="91" spans="1:3" x14ac:dyDescent="0.3">
      <c r="A91">
        <v>2650</v>
      </c>
      <c r="B91">
        <v>0.98499999999999999</v>
      </c>
      <c r="C91">
        <v>0.01</v>
      </c>
    </row>
    <row r="92" spans="1:3" x14ac:dyDescent="0.3">
      <c r="A92">
        <v>2700</v>
      </c>
      <c r="B92">
        <v>0.98499999999999999</v>
      </c>
      <c r="C92">
        <v>0.01</v>
      </c>
    </row>
    <row r="93" spans="1:3" x14ac:dyDescent="0.3">
      <c r="A93">
        <v>2750</v>
      </c>
      <c r="B93">
        <v>0.98499999999999999</v>
      </c>
      <c r="C93">
        <v>0.01</v>
      </c>
    </row>
    <row r="94" spans="1:3" x14ac:dyDescent="0.3">
      <c r="A94">
        <v>2800</v>
      </c>
      <c r="B94">
        <v>0.98499999999999999</v>
      </c>
      <c r="C94">
        <v>0.01</v>
      </c>
    </row>
    <row r="95" spans="1:3" x14ac:dyDescent="0.3">
      <c r="A95">
        <v>2850</v>
      </c>
      <c r="B95">
        <v>0.98499999999999999</v>
      </c>
      <c r="C95">
        <v>0.01</v>
      </c>
    </row>
    <row r="96" spans="1:3" x14ac:dyDescent="0.3">
      <c r="A96">
        <v>2900</v>
      </c>
      <c r="B96">
        <v>0.98499999999999999</v>
      </c>
      <c r="C96">
        <v>0.01</v>
      </c>
    </row>
    <row r="97" spans="1:3" x14ac:dyDescent="0.3">
      <c r="A97">
        <v>2950</v>
      </c>
      <c r="B97">
        <v>0.98499999999999999</v>
      </c>
      <c r="C97">
        <v>0.01</v>
      </c>
    </row>
    <row r="98" spans="1:3" x14ac:dyDescent="0.3">
      <c r="A98">
        <v>3000</v>
      </c>
      <c r="B98">
        <v>0.98499999999999999</v>
      </c>
      <c r="C98">
        <v>0.01</v>
      </c>
    </row>
    <row r="99" spans="1:3" x14ac:dyDescent="0.3">
      <c r="A99">
        <v>3050</v>
      </c>
      <c r="B99">
        <v>0.98499999999999999</v>
      </c>
      <c r="C99">
        <v>0.01</v>
      </c>
    </row>
    <row r="100" spans="1:3" x14ac:dyDescent="0.3">
      <c r="A100">
        <v>3100</v>
      </c>
      <c r="B100">
        <v>0.98499999999999999</v>
      </c>
      <c r="C100">
        <v>0.01</v>
      </c>
    </row>
    <row r="101" spans="1:3" x14ac:dyDescent="0.3">
      <c r="A101">
        <v>3150</v>
      </c>
      <c r="B101">
        <v>0.98499999999999999</v>
      </c>
      <c r="C101">
        <v>0.01</v>
      </c>
    </row>
    <row r="102" spans="1:3" x14ac:dyDescent="0.3">
      <c r="A102">
        <v>3200</v>
      </c>
      <c r="B102">
        <v>0.98499999999999999</v>
      </c>
      <c r="C102">
        <v>0.01</v>
      </c>
    </row>
    <row r="103" spans="1:3" x14ac:dyDescent="0.3">
      <c r="A103">
        <v>3250</v>
      </c>
      <c r="B103">
        <v>0.98499999999999999</v>
      </c>
      <c r="C103">
        <v>0.01</v>
      </c>
    </row>
    <row r="104" spans="1:3" x14ac:dyDescent="0.3">
      <c r="A104">
        <v>3300</v>
      </c>
      <c r="B104">
        <v>0.98499999999999999</v>
      </c>
      <c r="C104">
        <v>0.01</v>
      </c>
    </row>
    <row r="105" spans="1:3" x14ac:dyDescent="0.3">
      <c r="A105">
        <v>3350</v>
      </c>
      <c r="B105">
        <v>0.98499999999999999</v>
      </c>
      <c r="C105">
        <v>0.01</v>
      </c>
    </row>
    <row r="106" spans="1:3" x14ac:dyDescent="0.3">
      <c r="A106">
        <v>3400</v>
      </c>
      <c r="B106">
        <v>0.98499999999999999</v>
      </c>
      <c r="C106">
        <v>0.01</v>
      </c>
    </row>
    <row r="107" spans="1:3" x14ac:dyDescent="0.3">
      <c r="A107">
        <v>3450</v>
      </c>
      <c r="B107">
        <v>0.98499999999999999</v>
      </c>
      <c r="C107">
        <v>0.01</v>
      </c>
    </row>
    <row r="108" spans="1:3" x14ac:dyDescent="0.3">
      <c r="A108">
        <v>3500</v>
      </c>
      <c r="B108">
        <v>0.98499999999999999</v>
      </c>
      <c r="C108">
        <v>0.01</v>
      </c>
    </row>
    <row r="109" spans="1:3" x14ac:dyDescent="0.3">
      <c r="A109">
        <v>3550</v>
      </c>
      <c r="B109">
        <v>0.98499999999999999</v>
      </c>
      <c r="C109">
        <v>0.01</v>
      </c>
    </row>
    <row r="110" spans="1:3" x14ac:dyDescent="0.3">
      <c r="A110">
        <v>3600</v>
      </c>
      <c r="B110">
        <v>0.98499999999999999</v>
      </c>
      <c r="C110">
        <v>0.01</v>
      </c>
    </row>
    <row r="111" spans="1:3" x14ac:dyDescent="0.3">
      <c r="A111">
        <v>3650</v>
      </c>
      <c r="B111">
        <v>0.98499999999999999</v>
      </c>
      <c r="C111">
        <v>0.01</v>
      </c>
    </row>
    <row r="112" spans="1:3" x14ac:dyDescent="0.3">
      <c r="A112">
        <v>3700</v>
      </c>
      <c r="B112">
        <v>0.98499999999999999</v>
      </c>
      <c r="C112">
        <v>0.01</v>
      </c>
    </row>
    <row r="113" spans="1:3" x14ac:dyDescent="0.3">
      <c r="A113">
        <v>3750</v>
      </c>
      <c r="B113">
        <v>0.98499999999999999</v>
      </c>
      <c r="C113">
        <v>0.01</v>
      </c>
    </row>
    <row r="114" spans="1:3" x14ac:dyDescent="0.3">
      <c r="A114">
        <v>3800</v>
      </c>
      <c r="B114">
        <v>0.98499999999999999</v>
      </c>
      <c r="C114">
        <v>0.01</v>
      </c>
    </row>
    <row r="115" spans="1:3" x14ac:dyDescent="0.3">
      <c r="A115">
        <v>3850</v>
      </c>
      <c r="B115">
        <v>0.98499999999999999</v>
      </c>
      <c r="C115">
        <v>0.01</v>
      </c>
    </row>
    <row r="116" spans="1:3" x14ac:dyDescent="0.3">
      <c r="A116">
        <v>3900</v>
      </c>
      <c r="B116">
        <v>0.98499999999999999</v>
      </c>
      <c r="C116">
        <v>0.01</v>
      </c>
    </row>
    <row r="117" spans="1:3" x14ac:dyDescent="0.3">
      <c r="A117">
        <v>3950</v>
      </c>
      <c r="B117">
        <v>0.98499999999999999</v>
      </c>
      <c r="C117">
        <v>0.01</v>
      </c>
    </row>
    <row r="118" spans="1:3" x14ac:dyDescent="0.3">
      <c r="A118">
        <v>4000</v>
      </c>
      <c r="B118">
        <v>0.98499999999999999</v>
      </c>
      <c r="C118">
        <v>0.01</v>
      </c>
    </row>
    <row r="119" spans="1:3" x14ac:dyDescent="0.3">
      <c r="A119">
        <v>4050</v>
      </c>
      <c r="B119">
        <v>0.98499999999999999</v>
      </c>
      <c r="C119">
        <v>0.01</v>
      </c>
    </row>
    <row r="120" spans="1:3" x14ac:dyDescent="0.3">
      <c r="A120">
        <v>4100</v>
      </c>
      <c r="B120">
        <v>0.98499999999999999</v>
      </c>
      <c r="C120">
        <v>0.01</v>
      </c>
    </row>
    <row r="121" spans="1:3" x14ac:dyDescent="0.3">
      <c r="A121">
        <v>4150</v>
      </c>
      <c r="B121">
        <v>0.98499999999999999</v>
      </c>
      <c r="C121">
        <v>0.01</v>
      </c>
    </row>
    <row r="122" spans="1:3" x14ac:dyDescent="0.3">
      <c r="A122">
        <v>4200</v>
      </c>
      <c r="B122">
        <v>0.98499999999999999</v>
      </c>
      <c r="C122">
        <v>0.01</v>
      </c>
    </row>
    <row r="123" spans="1:3" x14ac:dyDescent="0.3">
      <c r="A123">
        <v>4250</v>
      </c>
      <c r="B123">
        <v>0.98499999999999999</v>
      </c>
      <c r="C123">
        <v>0.01</v>
      </c>
    </row>
    <row r="124" spans="1:3" x14ac:dyDescent="0.3">
      <c r="A124">
        <v>4300</v>
      </c>
      <c r="B124">
        <v>0.98499999999999999</v>
      </c>
      <c r="C124">
        <v>0.01</v>
      </c>
    </row>
    <row r="125" spans="1:3" x14ac:dyDescent="0.3">
      <c r="A125">
        <v>4350</v>
      </c>
      <c r="B125">
        <v>0.98499999999999999</v>
      </c>
      <c r="C125">
        <v>0.01</v>
      </c>
    </row>
    <row r="126" spans="1:3" x14ac:dyDescent="0.3">
      <c r="A126">
        <v>4400</v>
      </c>
      <c r="B126">
        <v>0.98499999999999999</v>
      </c>
      <c r="C126">
        <v>0.01</v>
      </c>
    </row>
    <row r="127" spans="1:3" x14ac:dyDescent="0.3">
      <c r="A127">
        <v>4450</v>
      </c>
      <c r="B127">
        <v>0.98499999999999999</v>
      </c>
      <c r="C127">
        <v>0.01</v>
      </c>
    </row>
    <row r="128" spans="1:3" x14ac:dyDescent="0.3">
      <c r="A128">
        <v>4500</v>
      </c>
      <c r="B128">
        <v>0.98499999999999999</v>
      </c>
      <c r="C128">
        <v>0.01</v>
      </c>
    </row>
    <row r="129" spans="1:3" x14ac:dyDescent="0.3">
      <c r="A129">
        <v>4550</v>
      </c>
      <c r="B129">
        <v>0.98499999999999999</v>
      </c>
      <c r="C129">
        <v>0.01</v>
      </c>
    </row>
    <row r="130" spans="1:3" x14ac:dyDescent="0.3">
      <c r="A130">
        <v>4600</v>
      </c>
      <c r="B130">
        <v>0.98499999999999999</v>
      </c>
      <c r="C130">
        <v>0.01</v>
      </c>
    </row>
    <row r="131" spans="1:3" x14ac:dyDescent="0.3">
      <c r="A131">
        <v>4650</v>
      </c>
      <c r="B131">
        <v>0.98499999999999999</v>
      </c>
      <c r="C131">
        <v>0.01</v>
      </c>
    </row>
    <row r="132" spans="1:3" x14ac:dyDescent="0.3">
      <c r="A132">
        <v>4700</v>
      </c>
      <c r="B132">
        <v>0.98499999999999999</v>
      </c>
      <c r="C132">
        <v>0.01</v>
      </c>
    </row>
    <row r="133" spans="1:3" x14ac:dyDescent="0.3">
      <c r="A133">
        <v>4750</v>
      </c>
      <c r="B133">
        <v>0.98499999999999999</v>
      </c>
      <c r="C133">
        <v>0.01</v>
      </c>
    </row>
    <row r="134" spans="1:3" x14ac:dyDescent="0.3">
      <c r="A134">
        <v>4800</v>
      </c>
      <c r="B134">
        <v>0.98499999999999999</v>
      </c>
      <c r="C134">
        <v>0.01</v>
      </c>
    </row>
    <row r="135" spans="1:3" x14ac:dyDescent="0.3">
      <c r="A135">
        <v>4850</v>
      </c>
      <c r="B135">
        <v>0.98499999999999999</v>
      </c>
      <c r="C135">
        <v>0.01</v>
      </c>
    </row>
    <row r="136" spans="1:3" x14ac:dyDescent="0.3">
      <c r="A136">
        <v>4900</v>
      </c>
      <c r="B136">
        <v>0.98499999999999999</v>
      </c>
      <c r="C136">
        <v>0.01</v>
      </c>
    </row>
    <row r="137" spans="1:3" x14ac:dyDescent="0.3">
      <c r="A137">
        <v>4950</v>
      </c>
      <c r="B137">
        <v>0.98499999999999999</v>
      </c>
      <c r="C137">
        <v>0.01</v>
      </c>
    </row>
    <row r="138" spans="1:3" x14ac:dyDescent="0.3">
      <c r="A138">
        <v>5000</v>
      </c>
      <c r="B138">
        <v>0.98499999999999999</v>
      </c>
      <c r="C138">
        <v>0.01</v>
      </c>
    </row>
    <row r="139" spans="1:3" x14ac:dyDescent="0.3">
      <c r="A139">
        <v>5050</v>
      </c>
      <c r="B139">
        <v>0.98499999999999999</v>
      </c>
      <c r="C139">
        <v>0.01</v>
      </c>
    </row>
    <row r="140" spans="1:3" x14ac:dyDescent="0.3">
      <c r="A140">
        <v>5100</v>
      </c>
      <c r="B140">
        <v>0.98499999999999999</v>
      </c>
      <c r="C140">
        <v>0.01</v>
      </c>
    </row>
    <row r="141" spans="1:3" x14ac:dyDescent="0.3">
      <c r="A141">
        <v>5150</v>
      </c>
      <c r="B141">
        <v>0.98499999999999999</v>
      </c>
      <c r="C141">
        <v>0.01</v>
      </c>
    </row>
    <row r="142" spans="1:3" x14ac:dyDescent="0.3">
      <c r="A142">
        <v>5200</v>
      </c>
      <c r="B142">
        <v>0.98499999999999999</v>
      </c>
      <c r="C142">
        <v>0.01</v>
      </c>
    </row>
    <row r="143" spans="1:3" x14ac:dyDescent="0.3">
      <c r="A143">
        <v>5250</v>
      </c>
      <c r="B143">
        <v>0.98499999999999999</v>
      </c>
      <c r="C143">
        <v>0.01</v>
      </c>
    </row>
    <row r="144" spans="1:3" x14ac:dyDescent="0.3">
      <c r="A144">
        <v>5300</v>
      </c>
      <c r="B144">
        <v>0.98499999999999999</v>
      </c>
      <c r="C144">
        <v>0.01</v>
      </c>
    </row>
    <row r="145" spans="1:3" x14ac:dyDescent="0.3">
      <c r="A145">
        <v>5350</v>
      </c>
      <c r="B145">
        <v>0.98499999999999999</v>
      </c>
      <c r="C145">
        <v>0.01</v>
      </c>
    </row>
    <row r="146" spans="1:3" x14ac:dyDescent="0.3">
      <c r="A146">
        <v>5400</v>
      </c>
      <c r="B146">
        <v>0.98499999999999999</v>
      </c>
      <c r="C146">
        <v>0.01</v>
      </c>
    </row>
    <row r="147" spans="1:3" x14ac:dyDescent="0.3">
      <c r="A147">
        <v>5450</v>
      </c>
      <c r="B147">
        <v>0.98499999999999999</v>
      </c>
      <c r="C147">
        <v>0.01</v>
      </c>
    </row>
    <row r="148" spans="1:3" x14ac:dyDescent="0.3">
      <c r="A148">
        <v>5500</v>
      </c>
      <c r="B148">
        <v>0.98499999999999999</v>
      </c>
      <c r="C148">
        <v>0.01</v>
      </c>
    </row>
    <row r="149" spans="1:3" x14ac:dyDescent="0.3">
      <c r="A149">
        <v>5550</v>
      </c>
      <c r="B149">
        <v>0.98499999999999999</v>
      </c>
      <c r="C149">
        <v>0.01</v>
      </c>
    </row>
    <row r="150" spans="1:3" x14ac:dyDescent="0.3">
      <c r="A150">
        <v>5600</v>
      </c>
      <c r="B150">
        <v>0.98499999999999999</v>
      </c>
      <c r="C150">
        <v>0.01</v>
      </c>
    </row>
    <row r="151" spans="1:3" x14ac:dyDescent="0.3">
      <c r="A151">
        <v>5650</v>
      </c>
      <c r="B151">
        <v>0.98499999999999999</v>
      </c>
      <c r="C151">
        <v>0.01</v>
      </c>
    </row>
    <row r="152" spans="1:3" x14ac:dyDescent="0.3">
      <c r="A152">
        <v>5700</v>
      </c>
      <c r="B152">
        <v>0.98499999999999999</v>
      </c>
      <c r="C152">
        <v>0.01</v>
      </c>
    </row>
    <row r="153" spans="1:3" x14ac:dyDescent="0.3">
      <c r="A153">
        <v>5750</v>
      </c>
      <c r="B153">
        <v>0.95</v>
      </c>
      <c r="C153">
        <f>1-B153-0.01</f>
        <v>4.0000000000000042E-2</v>
      </c>
    </row>
    <row r="154" spans="1:3" x14ac:dyDescent="0.3">
      <c r="A154">
        <v>5800</v>
      </c>
      <c r="B154">
        <v>0.9</v>
      </c>
      <c r="C154">
        <f t="shared" ref="C154:C162" si="0">1-B154-0.01</f>
        <v>8.9999999999999983E-2</v>
      </c>
    </row>
    <row r="155" spans="1:3" x14ac:dyDescent="0.3">
      <c r="A155">
        <v>5850</v>
      </c>
      <c r="B155">
        <v>0.8</v>
      </c>
      <c r="C155">
        <f t="shared" si="0"/>
        <v>0.18999999999999995</v>
      </c>
    </row>
    <row r="156" spans="1:3" x14ac:dyDescent="0.3">
      <c r="A156">
        <v>5900</v>
      </c>
      <c r="B156">
        <v>0.7</v>
      </c>
      <c r="C156">
        <f t="shared" si="0"/>
        <v>0.29000000000000004</v>
      </c>
    </row>
    <row r="157" spans="1:3" x14ac:dyDescent="0.3">
      <c r="A157">
        <v>5950</v>
      </c>
      <c r="B157">
        <v>0.6</v>
      </c>
      <c r="C157">
        <f t="shared" si="0"/>
        <v>0.39</v>
      </c>
    </row>
    <row r="158" spans="1:3" x14ac:dyDescent="0.3">
      <c r="A158">
        <v>6000</v>
      </c>
      <c r="B158">
        <v>0.5</v>
      </c>
      <c r="C158">
        <f t="shared" si="0"/>
        <v>0.49</v>
      </c>
    </row>
    <row r="159" spans="1:3" x14ac:dyDescent="0.3">
      <c r="A159">
        <v>6050</v>
      </c>
      <c r="B159">
        <v>0.4</v>
      </c>
      <c r="C159">
        <f t="shared" si="0"/>
        <v>0.59</v>
      </c>
    </row>
    <row r="160" spans="1:3" x14ac:dyDescent="0.3">
      <c r="A160">
        <v>6100</v>
      </c>
      <c r="B160">
        <v>0.2</v>
      </c>
      <c r="C160">
        <f t="shared" si="0"/>
        <v>0.79</v>
      </c>
    </row>
    <row r="161" spans="1:3" x14ac:dyDescent="0.3">
      <c r="A161">
        <v>6150</v>
      </c>
      <c r="B161">
        <v>0.1</v>
      </c>
      <c r="C161">
        <f t="shared" si="0"/>
        <v>0.89</v>
      </c>
    </row>
    <row r="162" spans="1:3" x14ac:dyDescent="0.3">
      <c r="A162">
        <v>6200</v>
      </c>
      <c r="B162">
        <v>0.05</v>
      </c>
      <c r="C162">
        <f t="shared" si="0"/>
        <v>0.94</v>
      </c>
    </row>
    <row r="163" spans="1:3" x14ac:dyDescent="0.3">
      <c r="A163">
        <v>6250</v>
      </c>
      <c r="B163">
        <v>0.01</v>
      </c>
      <c r="C163">
        <v>0.98499999999999999</v>
      </c>
    </row>
    <row r="164" spans="1:3" x14ac:dyDescent="0.3">
      <c r="A164">
        <v>6300</v>
      </c>
      <c r="B164">
        <v>0.01</v>
      </c>
      <c r="C164">
        <v>0.98499999999999999</v>
      </c>
    </row>
    <row r="165" spans="1:3" x14ac:dyDescent="0.3">
      <c r="A165">
        <v>6350</v>
      </c>
      <c r="B165">
        <v>0.01</v>
      </c>
      <c r="C165">
        <v>0.98499999999999999</v>
      </c>
    </row>
    <row r="166" spans="1:3" x14ac:dyDescent="0.3">
      <c r="A166">
        <v>6400</v>
      </c>
      <c r="B166">
        <v>0.01</v>
      </c>
      <c r="C166">
        <v>0.98499999999999999</v>
      </c>
    </row>
    <row r="167" spans="1:3" x14ac:dyDescent="0.3">
      <c r="A167">
        <v>6450</v>
      </c>
      <c r="B167">
        <v>0.01</v>
      </c>
      <c r="C167">
        <v>0.98499999999999999</v>
      </c>
    </row>
    <row r="168" spans="1:3" x14ac:dyDescent="0.3">
      <c r="A168">
        <v>6500</v>
      </c>
      <c r="B168">
        <v>0.01</v>
      </c>
      <c r="C168">
        <v>0.98499999999999999</v>
      </c>
    </row>
    <row r="169" spans="1:3" x14ac:dyDescent="0.3">
      <c r="A169">
        <v>6550</v>
      </c>
      <c r="B169">
        <v>0.01</v>
      </c>
      <c r="C169">
        <v>0.98499999999999999</v>
      </c>
    </row>
    <row r="170" spans="1:3" x14ac:dyDescent="0.3">
      <c r="A170">
        <v>6600</v>
      </c>
      <c r="B170">
        <v>0.01</v>
      </c>
      <c r="C170">
        <v>0.98499999999999999</v>
      </c>
    </row>
    <row r="171" spans="1:3" x14ac:dyDescent="0.3">
      <c r="A171">
        <v>6650</v>
      </c>
      <c r="B171">
        <v>0.01</v>
      </c>
      <c r="C171">
        <v>0.98499999999999999</v>
      </c>
    </row>
    <row r="172" spans="1:3" x14ac:dyDescent="0.3">
      <c r="A172">
        <v>6700</v>
      </c>
      <c r="B172">
        <v>0.01</v>
      </c>
      <c r="C172">
        <v>0.98499999999999999</v>
      </c>
    </row>
    <row r="173" spans="1:3" x14ac:dyDescent="0.3">
      <c r="A173">
        <v>6750</v>
      </c>
      <c r="B173">
        <v>0.01</v>
      </c>
      <c r="C173">
        <v>0.98499999999999999</v>
      </c>
    </row>
    <row r="174" spans="1:3" x14ac:dyDescent="0.3">
      <c r="A174">
        <v>6800</v>
      </c>
      <c r="B174">
        <v>0.01</v>
      </c>
      <c r="C174">
        <v>0.98499999999999999</v>
      </c>
    </row>
    <row r="175" spans="1:3" x14ac:dyDescent="0.3">
      <c r="A175">
        <v>6850</v>
      </c>
      <c r="B175">
        <v>0.01</v>
      </c>
      <c r="C175">
        <v>0.98499999999999999</v>
      </c>
    </row>
    <row r="176" spans="1:3" x14ac:dyDescent="0.3">
      <c r="A176">
        <v>6900</v>
      </c>
      <c r="B176">
        <v>0.01</v>
      </c>
      <c r="C176">
        <v>0.98499999999999999</v>
      </c>
    </row>
    <row r="177" spans="1:3" x14ac:dyDescent="0.3">
      <c r="A177">
        <v>6950</v>
      </c>
      <c r="B177">
        <v>0.01</v>
      </c>
      <c r="C177">
        <v>0.98499999999999999</v>
      </c>
    </row>
    <row r="178" spans="1:3" x14ac:dyDescent="0.3">
      <c r="A178">
        <v>7000</v>
      </c>
      <c r="B178">
        <v>0.01</v>
      </c>
      <c r="C178">
        <v>0.98499999999999999</v>
      </c>
    </row>
    <row r="179" spans="1:3" x14ac:dyDescent="0.3">
      <c r="A179">
        <v>7050</v>
      </c>
      <c r="B179">
        <v>0.01</v>
      </c>
      <c r="C179">
        <v>0.98499999999999999</v>
      </c>
    </row>
    <row r="180" spans="1:3" x14ac:dyDescent="0.3">
      <c r="A180">
        <v>7100</v>
      </c>
      <c r="B180">
        <v>0.01</v>
      </c>
      <c r="C180">
        <v>0.98499999999999999</v>
      </c>
    </row>
    <row r="181" spans="1:3" x14ac:dyDescent="0.3">
      <c r="A181">
        <v>7150</v>
      </c>
      <c r="B181">
        <v>0.01</v>
      </c>
      <c r="C181">
        <v>0.98499999999999999</v>
      </c>
    </row>
    <row r="182" spans="1:3" x14ac:dyDescent="0.3">
      <c r="A182">
        <v>7200</v>
      </c>
      <c r="B182">
        <v>0.01</v>
      </c>
      <c r="C182">
        <v>0.98499999999999999</v>
      </c>
    </row>
    <row r="183" spans="1:3" x14ac:dyDescent="0.3">
      <c r="A183">
        <v>7250</v>
      </c>
      <c r="B183">
        <v>0.01</v>
      </c>
      <c r="C183">
        <v>0.98499999999999999</v>
      </c>
    </row>
    <row r="184" spans="1:3" x14ac:dyDescent="0.3">
      <c r="A184">
        <v>7300</v>
      </c>
      <c r="B184">
        <v>0.01</v>
      </c>
      <c r="C184">
        <v>0.98499999999999999</v>
      </c>
    </row>
    <row r="185" spans="1:3" x14ac:dyDescent="0.3">
      <c r="A185">
        <v>7350</v>
      </c>
      <c r="B185">
        <v>0.01</v>
      </c>
      <c r="C185">
        <v>0.98499999999999999</v>
      </c>
    </row>
    <row r="186" spans="1:3" x14ac:dyDescent="0.3">
      <c r="A186">
        <v>7400</v>
      </c>
      <c r="B186">
        <v>0.01</v>
      </c>
      <c r="C186">
        <v>0.98499999999999999</v>
      </c>
    </row>
    <row r="187" spans="1:3" x14ac:dyDescent="0.3">
      <c r="A187">
        <v>7450</v>
      </c>
      <c r="B187">
        <v>0.01</v>
      </c>
      <c r="C187">
        <v>0.98499999999999999</v>
      </c>
    </row>
    <row r="188" spans="1:3" x14ac:dyDescent="0.3">
      <c r="A188">
        <v>7500</v>
      </c>
      <c r="B188">
        <v>0.01</v>
      </c>
      <c r="C188">
        <v>0.98499999999999999</v>
      </c>
    </row>
    <row r="189" spans="1:3" x14ac:dyDescent="0.3">
      <c r="A189">
        <v>7550</v>
      </c>
      <c r="B189">
        <v>0.01</v>
      </c>
      <c r="C189">
        <v>0.98499999999999999</v>
      </c>
    </row>
    <row r="190" spans="1:3" x14ac:dyDescent="0.3">
      <c r="A190">
        <v>7600</v>
      </c>
      <c r="B190">
        <v>0.01</v>
      </c>
      <c r="C190">
        <v>0.98499999999999999</v>
      </c>
    </row>
    <row r="191" spans="1:3" x14ac:dyDescent="0.3">
      <c r="A191">
        <v>7650</v>
      </c>
      <c r="B191">
        <v>0.01</v>
      </c>
      <c r="C191">
        <v>0.98499999999999999</v>
      </c>
    </row>
    <row r="192" spans="1:3" x14ac:dyDescent="0.3">
      <c r="A192">
        <v>7700</v>
      </c>
      <c r="B192">
        <v>0.01</v>
      </c>
      <c r="C192">
        <v>0.98499999999999999</v>
      </c>
    </row>
    <row r="193" spans="1:3" x14ac:dyDescent="0.3">
      <c r="A193">
        <v>7750</v>
      </c>
      <c r="B193">
        <v>0.01</v>
      </c>
      <c r="C193">
        <v>0.98499999999999999</v>
      </c>
    </row>
    <row r="194" spans="1:3" x14ac:dyDescent="0.3">
      <c r="A194">
        <v>7800</v>
      </c>
      <c r="B194">
        <v>0.01</v>
      </c>
      <c r="C194">
        <v>0.98499999999999999</v>
      </c>
    </row>
    <row r="195" spans="1:3" x14ac:dyDescent="0.3">
      <c r="A195">
        <v>7850</v>
      </c>
      <c r="B195">
        <v>0.01</v>
      </c>
      <c r="C195">
        <v>0.98499999999999999</v>
      </c>
    </row>
    <row r="196" spans="1:3" x14ac:dyDescent="0.3">
      <c r="A196">
        <v>7900</v>
      </c>
      <c r="B196">
        <v>0.01</v>
      </c>
      <c r="C196">
        <v>0.98499999999999999</v>
      </c>
    </row>
    <row r="197" spans="1:3" x14ac:dyDescent="0.3">
      <c r="A197">
        <v>7950</v>
      </c>
      <c r="B197">
        <v>0.01</v>
      </c>
      <c r="C197">
        <v>0.98499999999999999</v>
      </c>
    </row>
    <row r="198" spans="1:3" x14ac:dyDescent="0.3">
      <c r="A198">
        <v>8000</v>
      </c>
      <c r="B198">
        <v>0.01</v>
      </c>
      <c r="C198">
        <v>0.98499999999999999</v>
      </c>
    </row>
    <row r="199" spans="1:3" x14ac:dyDescent="0.3">
      <c r="A199">
        <v>8050</v>
      </c>
      <c r="B199">
        <v>0.01</v>
      </c>
      <c r="C199">
        <v>0.98499999999999999</v>
      </c>
    </row>
    <row r="200" spans="1:3" x14ac:dyDescent="0.3">
      <c r="A200">
        <v>8100</v>
      </c>
      <c r="B200">
        <v>0.01</v>
      </c>
      <c r="C200">
        <v>0.98499999999999999</v>
      </c>
    </row>
    <row r="201" spans="1:3" x14ac:dyDescent="0.3">
      <c r="A201">
        <v>8150</v>
      </c>
      <c r="B201">
        <v>0.01</v>
      </c>
      <c r="C201">
        <v>0.98499999999999999</v>
      </c>
    </row>
    <row r="202" spans="1:3" x14ac:dyDescent="0.3">
      <c r="A202">
        <v>8200</v>
      </c>
      <c r="B202">
        <v>0.01</v>
      </c>
      <c r="C202">
        <v>0.98499999999999999</v>
      </c>
    </row>
    <row r="203" spans="1:3" x14ac:dyDescent="0.3">
      <c r="A203">
        <v>8250</v>
      </c>
      <c r="B203">
        <v>0.01</v>
      </c>
      <c r="C203">
        <v>0.98499999999999999</v>
      </c>
    </row>
    <row r="204" spans="1:3" x14ac:dyDescent="0.3">
      <c r="A204">
        <v>8300</v>
      </c>
      <c r="B204">
        <v>0.01</v>
      </c>
      <c r="C204">
        <v>0.98499999999999999</v>
      </c>
    </row>
    <row r="205" spans="1:3" x14ac:dyDescent="0.3">
      <c r="A205">
        <v>8350</v>
      </c>
      <c r="B205">
        <v>0.01</v>
      </c>
      <c r="C205">
        <v>0.98499999999999999</v>
      </c>
    </row>
    <row r="206" spans="1:3" x14ac:dyDescent="0.3">
      <c r="A206">
        <v>8400</v>
      </c>
      <c r="B206">
        <v>0.01</v>
      </c>
      <c r="C206">
        <v>0.98499999999999999</v>
      </c>
    </row>
    <row r="207" spans="1:3" x14ac:dyDescent="0.3">
      <c r="A207">
        <v>8450</v>
      </c>
      <c r="B207">
        <v>0.01</v>
      </c>
      <c r="C207">
        <v>0.98499999999999999</v>
      </c>
    </row>
    <row r="208" spans="1:3" x14ac:dyDescent="0.3">
      <c r="A208">
        <v>8500</v>
      </c>
      <c r="B208">
        <v>0.01</v>
      </c>
      <c r="C208">
        <v>0.98499999999999999</v>
      </c>
    </row>
    <row r="209" spans="1:3" x14ac:dyDescent="0.3">
      <c r="A209">
        <v>8550</v>
      </c>
      <c r="B209">
        <v>0.01</v>
      </c>
      <c r="C209">
        <v>0.98499999999999999</v>
      </c>
    </row>
    <row r="210" spans="1:3" x14ac:dyDescent="0.3">
      <c r="A210">
        <v>8600</v>
      </c>
      <c r="B210">
        <v>0.01</v>
      </c>
      <c r="C210">
        <v>0.98499999999999999</v>
      </c>
    </row>
    <row r="211" spans="1:3" x14ac:dyDescent="0.3">
      <c r="A211">
        <v>8650</v>
      </c>
      <c r="B211">
        <v>0.01</v>
      </c>
      <c r="C211">
        <v>0.98499999999999999</v>
      </c>
    </row>
    <row r="212" spans="1:3" x14ac:dyDescent="0.3">
      <c r="A212">
        <v>8700</v>
      </c>
      <c r="B212">
        <v>0.01</v>
      </c>
      <c r="C212">
        <v>0.98499999999999999</v>
      </c>
    </row>
    <row r="213" spans="1:3" x14ac:dyDescent="0.3">
      <c r="A213">
        <v>8750</v>
      </c>
      <c r="B213">
        <v>0.01</v>
      </c>
      <c r="C213">
        <v>0.98499999999999999</v>
      </c>
    </row>
    <row r="214" spans="1:3" x14ac:dyDescent="0.3">
      <c r="A214">
        <v>8800</v>
      </c>
      <c r="B214">
        <v>0.01</v>
      </c>
      <c r="C214">
        <v>0.98499999999999999</v>
      </c>
    </row>
    <row r="215" spans="1:3" x14ac:dyDescent="0.3">
      <c r="A215">
        <v>8850</v>
      </c>
      <c r="B215">
        <v>0.01</v>
      </c>
      <c r="C215">
        <v>0.98499999999999999</v>
      </c>
    </row>
    <row r="216" spans="1:3" x14ac:dyDescent="0.3">
      <c r="A216">
        <v>8900</v>
      </c>
      <c r="B216">
        <v>0.01</v>
      </c>
      <c r="C216">
        <v>0.98499999999999999</v>
      </c>
    </row>
    <row r="217" spans="1:3" x14ac:dyDescent="0.3">
      <c r="A217">
        <v>8950</v>
      </c>
      <c r="B217">
        <v>0.01</v>
      </c>
      <c r="C217">
        <v>0.98499999999999999</v>
      </c>
    </row>
    <row r="218" spans="1:3" x14ac:dyDescent="0.3">
      <c r="A218">
        <v>9000</v>
      </c>
      <c r="B218">
        <v>0.01</v>
      </c>
      <c r="C218">
        <v>0.98499999999999999</v>
      </c>
    </row>
    <row r="219" spans="1:3" x14ac:dyDescent="0.3">
      <c r="A219">
        <v>9050</v>
      </c>
      <c r="B219">
        <v>0.01</v>
      </c>
      <c r="C219">
        <v>0.98499999999999999</v>
      </c>
    </row>
    <row r="220" spans="1:3" x14ac:dyDescent="0.3">
      <c r="A220">
        <v>9100</v>
      </c>
      <c r="B220">
        <v>0.01</v>
      </c>
      <c r="C220">
        <v>0.98499999999999999</v>
      </c>
    </row>
    <row r="221" spans="1:3" x14ac:dyDescent="0.3">
      <c r="A221">
        <v>9150</v>
      </c>
      <c r="B221">
        <v>0.01</v>
      </c>
      <c r="C221">
        <v>0.98499999999999999</v>
      </c>
    </row>
    <row r="222" spans="1:3" x14ac:dyDescent="0.3">
      <c r="A222">
        <v>9200</v>
      </c>
      <c r="B222">
        <v>0.01</v>
      </c>
      <c r="C222">
        <v>0.98499999999999999</v>
      </c>
    </row>
    <row r="223" spans="1:3" x14ac:dyDescent="0.3">
      <c r="A223">
        <v>9250</v>
      </c>
      <c r="B223">
        <v>0.01</v>
      </c>
      <c r="C223">
        <v>0.98499999999999999</v>
      </c>
    </row>
    <row r="224" spans="1:3" x14ac:dyDescent="0.3">
      <c r="A224">
        <v>9300</v>
      </c>
      <c r="B224">
        <v>0.01</v>
      </c>
      <c r="C224">
        <v>0.98499999999999999</v>
      </c>
    </row>
    <row r="225" spans="1:3" x14ac:dyDescent="0.3">
      <c r="A225">
        <v>9350</v>
      </c>
      <c r="B225">
        <v>0.01</v>
      </c>
      <c r="C225">
        <v>0.98499999999999999</v>
      </c>
    </row>
    <row r="226" spans="1:3" x14ac:dyDescent="0.3">
      <c r="A226">
        <v>9400</v>
      </c>
      <c r="B226">
        <v>0.01</v>
      </c>
      <c r="C226">
        <v>0.98499999999999999</v>
      </c>
    </row>
    <row r="227" spans="1:3" x14ac:dyDescent="0.3">
      <c r="A227">
        <v>9450</v>
      </c>
      <c r="B227">
        <v>0.01</v>
      </c>
      <c r="C227">
        <v>0.98499999999999999</v>
      </c>
    </row>
    <row r="228" spans="1:3" x14ac:dyDescent="0.3">
      <c r="A228">
        <v>9500</v>
      </c>
      <c r="B228">
        <v>0.01</v>
      </c>
      <c r="C228">
        <v>0.98499999999999999</v>
      </c>
    </row>
    <row r="229" spans="1:3" x14ac:dyDescent="0.3">
      <c r="A229">
        <v>9550</v>
      </c>
      <c r="B229">
        <v>0.01</v>
      </c>
      <c r="C229">
        <v>0.98499999999999999</v>
      </c>
    </row>
    <row r="230" spans="1:3" x14ac:dyDescent="0.3">
      <c r="A230">
        <v>9600</v>
      </c>
      <c r="B230">
        <v>0.01</v>
      </c>
      <c r="C230">
        <v>0.98499999999999999</v>
      </c>
    </row>
    <row r="231" spans="1:3" x14ac:dyDescent="0.3">
      <c r="A231">
        <v>9650</v>
      </c>
      <c r="B231">
        <v>0.01</v>
      </c>
      <c r="C231">
        <v>0.98499999999999999</v>
      </c>
    </row>
    <row r="232" spans="1:3" x14ac:dyDescent="0.3">
      <c r="A232">
        <v>9700</v>
      </c>
      <c r="B232">
        <v>0.01</v>
      </c>
      <c r="C232">
        <v>0.98499999999999999</v>
      </c>
    </row>
    <row r="233" spans="1:3" x14ac:dyDescent="0.3">
      <c r="A233">
        <v>9750</v>
      </c>
      <c r="B233">
        <v>0.01</v>
      </c>
      <c r="C233">
        <v>0.98499999999999999</v>
      </c>
    </row>
    <row r="234" spans="1:3" x14ac:dyDescent="0.3">
      <c r="A234">
        <v>9800</v>
      </c>
      <c r="B234">
        <v>0.01</v>
      </c>
      <c r="C234">
        <v>0.98499999999999999</v>
      </c>
    </row>
    <row r="235" spans="1:3" x14ac:dyDescent="0.3">
      <c r="A235">
        <v>9850</v>
      </c>
      <c r="B235">
        <v>0.01</v>
      </c>
      <c r="C235">
        <v>0.98499999999999999</v>
      </c>
    </row>
    <row r="236" spans="1:3" x14ac:dyDescent="0.3">
      <c r="A236">
        <v>9900</v>
      </c>
      <c r="B236">
        <v>0.01</v>
      </c>
      <c r="C236">
        <v>0.98499999999999999</v>
      </c>
    </row>
    <row r="237" spans="1:3" x14ac:dyDescent="0.3">
      <c r="A237">
        <v>9950</v>
      </c>
      <c r="B237">
        <v>0.01</v>
      </c>
      <c r="C237">
        <v>0.98499999999999999</v>
      </c>
    </row>
    <row r="238" spans="1:3" x14ac:dyDescent="0.3">
      <c r="A238">
        <v>10000</v>
      </c>
      <c r="B238">
        <v>0.01</v>
      </c>
      <c r="C238">
        <v>0.98499999999999999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7"/>
  <sheetViews>
    <sheetView workbookViewId="0">
      <selection activeCell="A2" sqref="A2:D2"/>
    </sheetView>
  </sheetViews>
  <sheetFormatPr defaultRowHeight="14.4" x14ac:dyDescent="0.3"/>
  <sheetData>
    <row r="1" spans="1:3" x14ac:dyDescent="0.3">
      <c r="A1" t="s">
        <v>3</v>
      </c>
    </row>
    <row r="2" spans="1:3" x14ac:dyDescent="0.3">
      <c r="A2" t="s">
        <v>52</v>
      </c>
      <c r="B2" t="s">
        <v>59</v>
      </c>
      <c r="C2" t="s">
        <v>60</v>
      </c>
    </row>
    <row r="3" spans="1:3" x14ac:dyDescent="0.3">
      <c r="A3">
        <v>60</v>
      </c>
      <c r="B3">
        <v>0.98499999999999999</v>
      </c>
      <c r="C3">
        <v>0.01</v>
      </c>
    </row>
    <row r="4" spans="1:3" x14ac:dyDescent="0.3">
      <c r="A4">
        <v>65</v>
      </c>
      <c r="B4">
        <v>0.98499999999999999</v>
      </c>
      <c r="C4">
        <v>0.01</v>
      </c>
    </row>
    <row r="5" spans="1:3" x14ac:dyDescent="0.3">
      <c r="A5">
        <v>70</v>
      </c>
      <c r="B5">
        <v>0.98499999999999999</v>
      </c>
      <c r="C5">
        <v>0.01</v>
      </c>
    </row>
    <row r="6" spans="1:3" x14ac:dyDescent="0.3">
      <c r="A6">
        <v>72</v>
      </c>
      <c r="B6">
        <v>0.98499999999999999</v>
      </c>
      <c r="C6">
        <v>0.01</v>
      </c>
    </row>
    <row r="7" spans="1:3" x14ac:dyDescent="0.3">
      <c r="A7">
        <v>74</v>
      </c>
      <c r="B7">
        <v>0.98499999999999999</v>
      </c>
      <c r="C7">
        <v>0.01</v>
      </c>
    </row>
    <row r="8" spans="1:3" x14ac:dyDescent="0.3">
      <c r="A8">
        <v>76</v>
      </c>
      <c r="B8">
        <v>0.98499999999999999</v>
      </c>
      <c r="C8">
        <v>0.01</v>
      </c>
    </row>
    <row r="9" spans="1:3" x14ac:dyDescent="0.3">
      <c r="A9">
        <v>78</v>
      </c>
      <c r="B9">
        <v>0.98499999999999999</v>
      </c>
      <c r="C9">
        <v>0.01</v>
      </c>
    </row>
    <row r="10" spans="1:3" x14ac:dyDescent="0.3">
      <c r="A10">
        <v>80</v>
      </c>
      <c r="B10">
        <v>0.98499999999999999</v>
      </c>
      <c r="C10">
        <v>0.01</v>
      </c>
    </row>
    <row r="11" spans="1:3" x14ac:dyDescent="0.3">
      <c r="A11">
        <v>82</v>
      </c>
      <c r="B11">
        <v>0.98499999999999999</v>
      </c>
      <c r="C11">
        <v>0.01</v>
      </c>
    </row>
    <row r="12" spans="1:3" x14ac:dyDescent="0.3">
      <c r="A12">
        <v>84</v>
      </c>
      <c r="B12">
        <v>0.98499999999999999</v>
      </c>
      <c r="C12">
        <v>0.01</v>
      </c>
    </row>
    <row r="13" spans="1:3" x14ac:dyDescent="0.3">
      <c r="A13">
        <v>86</v>
      </c>
      <c r="B13">
        <v>0.98499999999999999</v>
      </c>
      <c r="C13">
        <v>0.01</v>
      </c>
    </row>
    <row r="14" spans="1:3" x14ac:dyDescent="0.3">
      <c r="A14">
        <v>88</v>
      </c>
      <c r="B14">
        <v>0.98499999999999999</v>
      </c>
      <c r="C14">
        <v>0.01</v>
      </c>
    </row>
    <row r="15" spans="1:3" x14ac:dyDescent="0.3">
      <c r="A15">
        <v>90</v>
      </c>
      <c r="B15">
        <v>0.98499999999999999</v>
      </c>
      <c r="C15">
        <v>0.01</v>
      </c>
    </row>
    <row r="16" spans="1:3" x14ac:dyDescent="0.3">
      <c r="A16">
        <v>92</v>
      </c>
      <c r="B16">
        <v>0.98499999999999999</v>
      </c>
      <c r="C16">
        <v>0.01</v>
      </c>
    </row>
    <row r="17" spans="1:3" x14ac:dyDescent="0.3">
      <c r="A17">
        <v>94</v>
      </c>
      <c r="B17">
        <v>0.98499999999999999</v>
      </c>
      <c r="C17">
        <v>0.01</v>
      </c>
    </row>
    <row r="18" spans="1:3" x14ac:dyDescent="0.3">
      <c r="A18">
        <v>96</v>
      </c>
      <c r="B18">
        <v>0.98499999999999999</v>
      </c>
      <c r="C18">
        <v>0.01</v>
      </c>
    </row>
    <row r="19" spans="1:3" x14ac:dyDescent="0.3">
      <c r="A19">
        <v>98</v>
      </c>
      <c r="B19">
        <v>0.98499999999999999</v>
      </c>
      <c r="C19">
        <v>0.01</v>
      </c>
    </row>
    <row r="20" spans="1:3" x14ac:dyDescent="0.3">
      <c r="A20">
        <v>100</v>
      </c>
      <c r="B20">
        <v>0.98499999999999999</v>
      </c>
      <c r="C20">
        <v>0.01</v>
      </c>
    </row>
    <row r="21" spans="1:3" x14ac:dyDescent="0.3">
      <c r="A21">
        <v>102</v>
      </c>
      <c r="B21">
        <v>0.98499999999999999</v>
      </c>
      <c r="C21">
        <v>0.01</v>
      </c>
    </row>
    <row r="22" spans="1:3" x14ac:dyDescent="0.3">
      <c r="A22">
        <v>104</v>
      </c>
      <c r="B22">
        <v>0.98499999999999999</v>
      </c>
      <c r="C22">
        <v>0.01</v>
      </c>
    </row>
    <row r="23" spans="1:3" x14ac:dyDescent="0.3">
      <c r="A23">
        <v>106</v>
      </c>
      <c r="B23">
        <v>0.98499999999999999</v>
      </c>
      <c r="C23">
        <v>0.01</v>
      </c>
    </row>
    <row r="24" spans="1:3" x14ac:dyDescent="0.3">
      <c r="A24">
        <v>108</v>
      </c>
      <c r="B24">
        <v>0.98499999999999999</v>
      </c>
      <c r="C24">
        <v>0.01</v>
      </c>
    </row>
    <row r="25" spans="1:3" x14ac:dyDescent="0.3">
      <c r="A25">
        <v>110</v>
      </c>
      <c r="B25">
        <v>0.98499999999999999</v>
      </c>
      <c r="C25">
        <v>0.01</v>
      </c>
    </row>
    <row r="26" spans="1:3" x14ac:dyDescent="0.3">
      <c r="A26">
        <v>112</v>
      </c>
      <c r="B26">
        <v>0.98499999999999999</v>
      </c>
      <c r="C26">
        <v>0.01</v>
      </c>
    </row>
    <row r="27" spans="1:3" x14ac:dyDescent="0.3">
      <c r="A27">
        <v>114</v>
      </c>
      <c r="B27">
        <v>0.98499999999999999</v>
      </c>
      <c r="C27">
        <v>0.01</v>
      </c>
    </row>
    <row r="28" spans="1:3" x14ac:dyDescent="0.3">
      <c r="A28">
        <v>116</v>
      </c>
      <c r="B28">
        <v>0.98499999999999999</v>
      </c>
      <c r="C28">
        <v>0.01</v>
      </c>
    </row>
    <row r="29" spans="1:3" x14ac:dyDescent="0.3">
      <c r="A29">
        <v>118</v>
      </c>
      <c r="B29">
        <v>0.98499999999999999</v>
      </c>
      <c r="C29">
        <v>0.01</v>
      </c>
    </row>
    <row r="30" spans="1:3" x14ac:dyDescent="0.3">
      <c r="A30">
        <v>120</v>
      </c>
      <c r="B30">
        <v>0.98499999999999999</v>
      </c>
      <c r="C30">
        <v>0.01</v>
      </c>
    </row>
    <row r="31" spans="1:3" x14ac:dyDescent="0.3">
      <c r="A31">
        <v>130</v>
      </c>
      <c r="B31">
        <v>0.98499999999999999</v>
      </c>
      <c r="C31">
        <v>0.01</v>
      </c>
    </row>
    <row r="32" spans="1:3" x14ac:dyDescent="0.3">
      <c r="A32">
        <v>140</v>
      </c>
      <c r="B32">
        <v>0.98499999999999999</v>
      </c>
      <c r="C32">
        <v>0.01</v>
      </c>
    </row>
    <row r="33" spans="1:3" x14ac:dyDescent="0.3">
      <c r="A33">
        <v>150</v>
      </c>
      <c r="B33">
        <v>0.98499999999999999</v>
      </c>
      <c r="C33">
        <v>0.01</v>
      </c>
    </row>
    <row r="34" spans="1:3" x14ac:dyDescent="0.3">
      <c r="A34">
        <v>160</v>
      </c>
      <c r="B34">
        <v>0.98499999999999999</v>
      </c>
      <c r="C34">
        <v>0.01</v>
      </c>
    </row>
    <row r="35" spans="1:3" x14ac:dyDescent="0.3">
      <c r="A35">
        <v>170</v>
      </c>
      <c r="B35">
        <v>0.98499999999999999</v>
      </c>
      <c r="C35">
        <v>0.01</v>
      </c>
    </row>
    <row r="36" spans="1:3" x14ac:dyDescent="0.3">
      <c r="A36">
        <v>180</v>
      </c>
      <c r="B36">
        <v>0.98499999999999999</v>
      </c>
      <c r="C36">
        <v>0.01</v>
      </c>
    </row>
    <row r="37" spans="1:3" x14ac:dyDescent="0.3">
      <c r="A37">
        <v>190</v>
      </c>
      <c r="B37">
        <v>0.98499999999999999</v>
      </c>
      <c r="C37">
        <v>0.01</v>
      </c>
    </row>
    <row r="38" spans="1:3" x14ac:dyDescent="0.3">
      <c r="A38">
        <v>200</v>
      </c>
      <c r="B38">
        <v>0.98499999999999999</v>
      </c>
      <c r="C38">
        <v>0.01</v>
      </c>
    </row>
    <row r="39" spans="1:3" x14ac:dyDescent="0.3">
      <c r="A39">
        <v>210</v>
      </c>
      <c r="B39">
        <v>0.98499999999999999</v>
      </c>
      <c r="C39">
        <v>0.01</v>
      </c>
    </row>
    <row r="40" spans="1:3" x14ac:dyDescent="0.3">
      <c r="A40">
        <v>220</v>
      </c>
      <c r="B40">
        <v>0.98499999999999999</v>
      </c>
      <c r="C40">
        <v>0.01</v>
      </c>
    </row>
    <row r="41" spans="1:3" x14ac:dyDescent="0.3">
      <c r="A41">
        <v>230</v>
      </c>
      <c r="B41">
        <v>0.98499999999999999</v>
      </c>
      <c r="C41">
        <v>0.01</v>
      </c>
    </row>
    <row r="42" spans="1:3" x14ac:dyDescent="0.3">
      <c r="A42">
        <v>240</v>
      </c>
      <c r="B42">
        <v>0.98499999999999999</v>
      </c>
      <c r="C42">
        <v>0.01</v>
      </c>
    </row>
    <row r="43" spans="1:3" x14ac:dyDescent="0.3">
      <c r="A43">
        <v>250</v>
      </c>
      <c r="B43">
        <v>0.98499999999999999</v>
      </c>
      <c r="C43">
        <v>0.01</v>
      </c>
    </row>
    <row r="44" spans="1:3" x14ac:dyDescent="0.3">
      <c r="A44">
        <v>300</v>
      </c>
      <c r="B44">
        <v>0.98499999999999999</v>
      </c>
      <c r="C44">
        <v>0.01</v>
      </c>
    </row>
    <row r="45" spans="1:3" x14ac:dyDescent="0.3">
      <c r="A45">
        <v>350</v>
      </c>
      <c r="B45">
        <v>0.98499999999999999</v>
      </c>
      <c r="C45">
        <v>0.01</v>
      </c>
    </row>
    <row r="46" spans="1:3" x14ac:dyDescent="0.3">
      <c r="A46">
        <v>400</v>
      </c>
      <c r="B46">
        <v>0.98499999999999999</v>
      </c>
      <c r="C46">
        <v>0.01</v>
      </c>
    </row>
    <row r="47" spans="1:3" x14ac:dyDescent="0.3">
      <c r="A47">
        <v>450</v>
      </c>
      <c r="B47">
        <v>0.98499999999999999</v>
      </c>
      <c r="C47">
        <v>0.01</v>
      </c>
    </row>
    <row r="48" spans="1:3" x14ac:dyDescent="0.3">
      <c r="A48">
        <v>500</v>
      </c>
      <c r="B48">
        <v>0.98499999999999999</v>
      </c>
      <c r="C48">
        <v>0.01</v>
      </c>
    </row>
    <row r="49" spans="1:3" x14ac:dyDescent="0.3">
      <c r="A49">
        <v>550</v>
      </c>
      <c r="B49">
        <v>0.98499999999999999</v>
      </c>
      <c r="C49">
        <v>0.01</v>
      </c>
    </row>
    <row r="50" spans="1:3" x14ac:dyDescent="0.3">
      <c r="A50">
        <v>600</v>
      </c>
      <c r="B50">
        <v>0.98499999999999999</v>
      </c>
      <c r="C50">
        <v>0.01</v>
      </c>
    </row>
    <row r="51" spans="1:3" x14ac:dyDescent="0.3">
      <c r="A51">
        <v>650</v>
      </c>
      <c r="B51">
        <v>0.98499999999999999</v>
      </c>
      <c r="C51">
        <v>0.01</v>
      </c>
    </row>
    <row r="52" spans="1:3" x14ac:dyDescent="0.3">
      <c r="A52">
        <v>700</v>
      </c>
      <c r="B52">
        <v>0.98499999999999999</v>
      </c>
      <c r="C52">
        <v>0.01</v>
      </c>
    </row>
    <row r="53" spans="1:3" x14ac:dyDescent="0.3">
      <c r="A53">
        <v>750</v>
      </c>
      <c r="B53">
        <v>0.98499999999999999</v>
      </c>
      <c r="C53">
        <v>0.01</v>
      </c>
    </row>
    <row r="54" spans="1:3" x14ac:dyDescent="0.3">
      <c r="A54">
        <v>800</v>
      </c>
      <c r="B54">
        <v>0.98499999999999999</v>
      </c>
      <c r="C54">
        <v>0.01</v>
      </c>
    </row>
    <row r="55" spans="1:3" x14ac:dyDescent="0.3">
      <c r="A55">
        <v>850</v>
      </c>
      <c r="B55">
        <v>0.98499999999999999</v>
      </c>
      <c r="C55">
        <v>0.01</v>
      </c>
    </row>
    <row r="56" spans="1:3" x14ac:dyDescent="0.3">
      <c r="A56">
        <v>900</v>
      </c>
      <c r="B56">
        <v>0.98499999999999999</v>
      </c>
      <c r="C56">
        <v>0.01</v>
      </c>
    </row>
    <row r="57" spans="1:3" x14ac:dyDescent="0.3">
      <c r="A57">
        <v>950</v>
      </c>
      <c r="B57">
        <v>0.98499999999999999</v>
      </c>
      <c r="C57">
        <v>0.01</v>
      </c>
    </row>
    <row r="58" spans="1:3" x14ac:dyDescent="0.3">
      <c r="A58">
        <v>1000</v>
      </c>
      <c r="B58">
        <v>0.98499999999999999</v>
      </c>
      <c r="C58">
        <v>0.01</v>
      </c>
    </row>
    <row r="59" spans="1:3" x14ac:dyDescent="0.3">
      <c r="A59">
        <v>1050</v>
      </c>
      <c r="B59">
        <v>0.98499999999999999</v>
      </c>
      <c r="C59">
        <v>0.01</v>
      </c>
    </row>
    <row r="60" spans="1:3" x14ac:dyDescent="0.3">
      <c r="A60">
        <v>1100</v>
      </c>
      <c r="B60">
        <v>0.98499999999999999</v>
      </c>
      <c r="C60">
        <v>0.01</v>
      </c>
    </row>
    <row r="61" spans="1:3" x14ac:dyDescent="0.3">
      <c r="A61">
        <v>1150</v>
      </c>
      <c r="B61">
        <v>0.98499999999999999</v>
      </c>
      <c r="C61">
        <v>0.01</v>
      </c>
    </row>
    <row r="62" spans="1:3" x14ac:dyDescent="0.3">
      <c r="A62">
        <v>1200</v>
      </c>
      <c r="B62">
        <v>0.98499999999999999</v>
      </c>
      <c r="C62">
        <v>0.01</v>
      </c>
    </row>
    <row r="63" spans="1:3" x14ac:dyDescent="0.3">
      <c r="A63">
        <v>1250</v>
      </c>
      <c r="B63">
        <v>0.98499999999999999</v>
      </c>
      <c r="C63">
        <v>0.01</v>
      </c>
    </row>
    <row r="64" spans="1:3" x14ac:dyDescent="0.3">
      <c r="A64">
        <v>1300</v>
      </c>
      <c r="B64">
        <v>0.98499999999999999</v>
      </c>
      <c r="C64">
        <v>0.01</v>
      </c>
    </row>
    <row r="65" spans="1:3" x14ac:dyDescent="0.3">
      <c r="A65">
        <v>1350</v>
      </c>
      <c r="B65">
        <v>0.98499999999999999</v>
      </c>
      <c r="C65">
        <v>0.01</v>
      </c>
    </row>
    <row r="66" spans="1:3" x14ac:dyDescent="0.3">
      <c r="A66">
        <v>1400</v>
      </c>
      <c r="B66">
        <v>0.98499999999999999</v>
      </c>
      <c r="C66">
        <v>0.01</v>
      </c>
    </row>
    <row r="67" spans="1:3" x14ac:dyDescent="0.3">
      <c r="A67">
        <v>1450</v>
      </c>
      <c r="B67">
        <v>0.98499999999999999</v>
      </c>
      <c r="C67">
        <v>0.01</v>
      </c>
    </row>
    <row r="68" spans="1:3" x14ac:dyDescent="0.3">
      <c r="A68">
        <v>1500</v>
      </c>
      <c r="B68">
        <v>0.98499999999999999</v>
      </c>
      <c r="C68">
        <v>0.01</v>
      </c>
    </row>
    <row r="69" spans="1:3" x14ac:dyDescent="0.3">
      <c r="A69">
        <v>1550</v>
      </c>
      <c r="B69">
        <v>0.98499999999999999</v>
      </c>
      <c r="C69">
        <v>0.01</v>
      </c>
    </row>
    <row r="70" spans="1:3" x14ac:dyDescent="0.3">
      <c r="A70">
        <v>1600</v>
      </c>
      <c r="B70">
        <v>0.98499999999999999</v>
      </c>
      <c r="C70">
        <v>0.01</v>
      </c>
    </row>
    <row r="71" spans="1:3" x14ac:dyDescent="0.3">
      <c r="A71">
        <v>1650</v>
      </c>
      <c r="B71">
        <v>0.98499999999999999</v>
      </c>
      <c r="C71">
        <v>0.01</v>
      </c>
    </row>
    <row r="72" spans="1:3" x14ac:dyDescent="0.3">
      <c r="A72">
        <v>1700</v>
      </c>
      <c r="B72">
        <v>0.98499999999999999</v>
      </c>
      <c r="C72">
        <v>0.01</v>
      </c>
    </row>
    <row r="73" spans="1:3" x14ac:dyDescent="0.3">
      <c r="A73">
        <v>1750</v>
      </c>
      <c r="B73">
        <v>0.98499999999999999</v>
      </c>
      <c r="C73">
        <v>0.01</v>
      </c>
    </row>
    <row r="74" spans="1:3" x14ac:dyDescent="0.3">
      <c r="A74">
        <v>1800</v>
      </c>
      <c r="B74">
        <v>0.98499999999999999</v>
      </c>
      <c r="C74">
        <v>0.01</v>
      </c>
    </row>
    <row r="75" spans="1:3" x14ac:dyDescent="0.3">
      <c r="A75">
        <v>1850</v>
      </c>
      <c r="B75">
        <v>0.98499999999999999</v>
      </c>
      <c r="C75">
        <v>0.01</v>
      </c>
    </row>
    <row r="76" spans="1:3" x14ac:dyDescent="0.3">
      <c r="A76">
        <v>1900</v>
      </c>
      <c r="B76">
        <v>0.98499999999999999</v>
      </c>
      <c r="C76">
        <v>0.01</v>
      </c>
    </row>
    <row r="77" spans="1:3" x14ac:dyDescent="0.3">
      <c r="A77">
        <v>1950</v>
      </c>
      <c r="B77">
        <v>0.98499999999999999</v>
      </c>
      <c r="C77">
        <v>0.01</v>
      </c>
    </row>
    <row r="78" spans="1:3" x14ac:dyDescent="0.3">
      <c r="A78">
        <v>2000</v>
      </c>
      <c r="B78">
        <v>0.98499999999999999</v>
      </c>
      <c r="C78">
        <v>0.01</v>
      </c>
    </row>
    <row r="79" spans="1:3" x14ac:dyDescent="0.3">
      <c r="A79">
        <v>2050</v>
      </c>
      <c r="B79">
        <v>0.98499999999999999</v>
      </c>
      <c r="C79">
        <v>0.01</v>
      </c>
    </row>
    <row r="80" spans="1:3" x14ac:dyDescent="0.3">
      <c r="A80">
        <v>2100</v>
      </c>
      <c r="B80">
        <v>0.98499999999999999</v>
      </c>
      <c r="C80">
        <v>0.01</v>
      </c>
    </row>
    <row r="81" spans="1:3" x14ac:dyDescent="0.3">
      <c r="A81">
        <v>2150</v>
      </c>
      <c r="B81">
        <v>0.98499999999999999</v>
      </c>
      <c r="C81">
        <v>0.01</v>
      </c>
    </row>
    <row r="82" spans="1:3" x14ac:dyDescent="0.3">
      <c r="A82">
        <v>2200</v>
      </c>
      <c r="B82">
        <v>0.98499999999999999</v>
      </c>
      <c r="C82">
        <v>0.01</v>
      </c>
    </row>
    <row r="83" spans="1:3" x14ac:dyDescent="0.3">
      <c r="A83">
        <v>2250</v>
      </c>
      <c r="B83">
        <v>0.98499999999999999</v>
      </c>
      <c r="C83">
        <v>0.01</v>
      </c>
    </row>
    <row r="84" spans="1:3" x14ac:dyDescent="0.3">
      <c r="A84">
        <v>2300</v>
      </c>
      <c r="B84">
        <v>0.98499999999999999</v>
      </c>
      <c r="C84">
        <v>0.01</v>
      </c>
    </row>
    <row r="85" spans="1:3" x14ac:dyDescent="0.3">
      <c r="A85">
        <v>2350</v>
      </c>
      <c r="B85">
        <v>0.98499999999999999</v>
      </c>
      <c r="C85">
        <v>0.01</v>
      </c>
    </row>
    <row r="86" spans="1:3" x14ac:dyDescent="0.3">
      <c r="A86">
        <v>2400</v>
      </c>
      <c r="B86">
        <v>0.98499999999999999</v>
      </c>
      <c r="C86">
        <v>0.01</v>
      </c>
    </row>
    <row r="87" spans="1:3" x14ac:dyDescent="0.3">
      <c r="A87">
        <v>2450</v>
      </c>
      <c r="B87">
        <v>0.98499999999999999</v>
      </c>
      <c r="C87">
        <v>0.01</v>
      </c>
    </row>
    <row r="88" spans="1:3" x14ac:dyDescent="0.3">
      <c r="A88">
        <v>2500</v>
      </c>
      <c r="B88">
        <v>0.98499999999999999</v>
      </c>
      <c r="C88">
        <v>0.01</v>
      </c>
    </row>
    <row r="89" spans="1:3" x14ac:dyDescent="0.3">
      <c r="A89">
        <v>2550</v>
      </c>
      <c r="B89">
        <v>0.98499999999999999</v>
      </c>
      <c r="C89">
        <v>0.01</v>
      </c>
    </row>
    <row r="90" spans="1:3" x14ac:dyDescent="0.3">
      <c r="A90">
        <v>2600</v>
      </c>
      <c r="B90">
        <v>0.98499999999999999</v>
      </c>
      <c r="C90">
        <v>0.01</v>
      </c>
    </row>
    <row r="91" spans="1:3" x14ac:dyDescent="0.3">
      <c r="A91">
        <v>2650</v>
      </c>
      <c r="B91">
        <v>0.98499999999999999</v>
      </c>
      <c r="C91">
        <v>0.01</v>
      </c>
    </row>
    <row r="92" spans="1:3" x14ac:dyDescent="0.3">
      <c r="A92">
        <v>2700</v>
      </c>
      <c r="B92">
        <v>0.98499999999999999</v>
      </c>
      <c r="C92">
        <v>0.01</v>
      </c>
    </row>
    <row r="93" spans="1:3" x14ac:dyDescent="0.3">
      <c r="A93">
        <v>2750</v>
      </c>
      <c r="B93">
        <v>0.98499999999999999</v>
      </c>
      <c r="C93">
        <v>0.01</v>
      </c>
    </row>
    <row r="94" spans="1:3" x14ac:dyDescent="0.3">
      <c r="A94">
        <v>2800</v>
      </c>
      <c r="B94">
        <v>0.95</v>
      </c>
      <c r="C94">
        <f>1-B94-0.01</f>
        <v>4.0000000000000042E-2</v>
      </c>
    </row>
    <row r="95" spans="1:3" x14ac:dyDescent="0.3">
      <c r="A95">
        <v>2850</v>
      </c>
      <c r="B95">
        <v>0.9</v>
      </c>
      <c r="C95">
        <f t="shared" ref="C95:C103" si="0">1-B95-0.01</f>
        <v>8.9999999999999983E-2</v>
      </c>
    </row>
    <row r="96" spans="1:3" x14ac:dyDescent="0.3">
      <c r="A96">
        <v>2900</v>
      </c>
      <c r="B96">
        <v>0.8</v>
      </c>
      <c r="C96">
        <f t="shared" si="0"/>
        <v>0.18999999999999995</v>
      </c>
    </row>
    <row r="97" spans="1:3" x14ac:dyDescent="0.3">
      <c r="A97">
        <v>2950</v>
      </c>
      <c r="B97">
        <v>0.7</v>
      </c>
      <c r="C97">
        <f t="shared" si="0"/>
        <v>0.29000000000000004</v>
      </c>
    </row>
    <row r="98" spans="1:3" x14ac:dyDescent="0.3">
      <c r="A98">
        <v>3000</v>
      </c>
      <c r="B98">
        <v>0.6</v>
      </c>
      <c r="C98">
        <f t="shared" si="0"/>
        <v>0.39</v>
      </c>
    </row>
    <row r="99" spans="1:3" x14ac:dyDescent="0.3">
      <c r="A99">
        <v>3050</v>
      </c>
      <c r="B99">
        <v>0.5</v>
      </c>
      <c r="C99">
        <f t="shared" si="0"/>
        <v>0.49</v>
      </c>
    </row>
    <row r="100" spans="1:3" x14ac:dyDescent="0.3">
      <c r="A100">
        <v>3100</v>
      </c>
      <c r="B100">
        <v>0.4</v>
      </c>
      <c r="C100">
        <f t="shared" si="0"/>
        <v>0.59</v>
      </c>
    </row>
    <row r="101" spans="1:3" x14ac:dyDescent="0.3">
      <c r="A101">
        <v>3150</v>
      </c>
      <c r="B101">
        <v>0.2</v>
      </c>
      <c r="C101">
        <f t="shared" si="0"/>
        <v>0.79</v>
      </c>
    </row>
    <row r="102" spans="1:3" x14ac:dyDescent="0.3">
      <c r="A102">
        <v>3200</v>
      </c>
      <c r="B102">
        <v>0.1</v>
      </c>
      <c r="C102">
        <f t="shared" si="0"/>
        <v>0.89</v>
      </c>
    </row>
    <row r="103" spans="1:3" x14ac:dyDescent="0.3">
      <c r="A103">
        <v>3250</v>
      </c>
      <c r="B103">
        <v>0.05</v>
      </c>
      <c r="C103">
        <f t="shared" si="0"/>
        <v>0.94</v>
      </c>
    </row>
    <row r="104" spans="1:3" x14ac:dyDescent="0.3">
      <c r="A104">
        <v>3300</v>
      </c>
      <c r="B104">
        <v>0.01</v>
      </c>
      <c r="C104">
        <v>0.98499999999999999</v>
      </c>
    </row>
    <row r="105" spans="1:3" x14ac:dyDescent="0.3">
      <c r="A105">
        <v>3350</v>
      </c>
      <c r="B105">
        <v>0.01</v>
      </c>
      <c r="C105">
        <v>0.98499999999999999</v>
      </c>
    </row>
    <row r="106" spans="1:3" x14ac:dyDescent="0.3">
      <c r="A106">
        <v>3400</v>
      </c>
      <c r="B106">
        <v>0.01</v>
      </c>
      <c r="C106">
        <v>0.98499999999999999</v>
      </c>
    </row>
    <row r="107" spans="1:3" x14ac:dyDescent="0.3">
      <c r="A107">
        <v>3450</v>
      </c>
      <c r="B107">
        <v>0.01</v>
      </c>
      <c r="C107">
        <v>0.98499999999999999</v>
      </c>
    </row>
    <row r="108" spans="1:3" x14ac:dyDescent="0.3">
      <c r="A108">
        <v>3500</v>
      </c>
      <c r="B108">
        <v>0.01</v>
      </c>
      <c r="C108">
        <v>0.98499999999999999</v>
      </c>
    </row>
    <row r="109" spans="1:3" x14ac:dyDescent="0.3">
      <c r="A109">
        <v>3550</v>
      </c>
      <c r="B109">
        <v>0.01</v>
      </c>
      <c r="C109">
        <v>0.98499999999999999</v>
      </c>
    </row>
    <row r="110" spans="1:3" x14ac:dyDescent="0.3">
      <c r="A110">
        <v>3600</v>
      </c>
      <c r="B110">
        <v>0.01</v>
      </c>
      <c r="C110">
        <v>0.98499999999999999</v>
      </c>
    </row>
    <row r="111" spans="1:3" x14ac:dyDescent="0.3">
      <c r="A111">
        <v>3650</v>
      </c>
      <c r="B111">
        <v>0.01</v>
      </c>
      <c r="C111">
        <v>0.98499999999999999</v>
      </c>
    </row>
    <row r="112" spans="1:3" x14ac:dyDescent="0.3">
      <c r="A112">
        <v>3700</v>
      </c>
      <c r="B112">
        <v>0.01</v>
      </c>
      <c r="C112">
        <v>0.98499999999999999</v>
      </c>
    </row>
    <row r="113" spans="1:3" x14ac:dyDescent="0.3">
      <c r="A113">
        <v>3750</v>
      </c>
      <c r="B113">
        <v>0.01</v>
      </c>
      <c r="C113">
        <v>0.98499999999999999</v>
      </c>
    </row>
    <row r="114" spans="1:3" x14ac:dyDescent="0.3">
      <c r="A114">
        <v>3800</v>
      </c>
      <c r="B114">
        <v>0.01</v>
      </c>
      <c r="C114">
        <v>0.98499999999999999</v>
      </c>
    </row>
    <row r="115" spans="1:3" x14ac:dyDescent="0.3">
      <c r="A115">
        <v>3850</v>
      </c>
      <c r="B115">
        <v>0.01</v>
      </c>
      <c r="C115">
        <v>0.98499999999999999</v>
      </c>
    </row>
    <row r="116" spans="1:3" x14ac:dyDescent="0.3">
      <c r="A116">
        <v>3900</v>
      </c>
      <c r="B116">
        <v>0.01</v>
      </c>
      <c r="C116">
        <v>0.98499999999999999</v>
      </c>
    </row>
    <row r="117" spans="1:3" x14ac:dyDescent="0.3">
      <c r="A117">
        <v>3950</v>
      </c>
      <c r="B117">
        <v>0.01</v>
      </c>
      <c r="C117">
        <v>0.98499999999999999</v>
      </c>
    </row>
    <row r="118" spans="1:3" x14ac:dyDescent="0.3">
      <c r="A118">
        <v>4000</v>
      </c>
      <c r="B118">
        <v>0.01</v>
      </c>
      <c r="C118">
        <v>0.98499999999999999</v>
      </c>
    </row>
    <row r="119" spans="1:3" x14ac:dyDescent="0.3">
      <c r="A119">
        <v>4050</v>
      </c>
      <c r="B119">
        <v>0.01</v>
      </c>
      <c r="C119">
        <v>0.98499999999999999</v>
      </c>
    </row>
    <row r="120" spans="1:3" x14ac:dyDescent="0.3">
      <c r="A120">
        <v>4100</v>
      </c>
      <c r="B120">
        <v>0.01</v>
      </c>
      <c r="C120">
        <v>0.98499999999999999</v>
      </c>
    </row>
    <row r="121" spans="1:3" x14ac:dyDescent="0.3">
      <c r="A121">
        <v>4150</v>
      </c>
      <c r="B121">
        <v>0.01</v>
      </c>
      <c r="C121">
        <v>0.98499999999999999</v>
      </c>
    </row>
    <row r="122" spans="1:3" x14ac:dyDescent="0.3">
      <c r="A122">
        <v>4200</v>
      </c>
      <c r="B122">
        <v>0.01</v>
      </c>
      <c r="C122">
        <v>0.98499999999999999</v>
      </c>
    </row>
    <row r="123" spans="1:3" x14ac:dyDescent="0.3">
      <c r="A123">
        <v>4250</v>
      </c>
      <c r="B123">
        <v>0.01</v>
      </c>
      <c r="C123">
        <v>0.98499999999999999</v>
      </c>
    </row>
    <row r="124" spans="1:3" x14ac:dyDescent="0.3">
      <c r="A124">
        <v>4300</v>
      </c>
      <c r="B124">
        <v>0.01</v>
      </c>
      <c r="C124">
        <v>0.98499999999999999</v>
      </c>
    </row>
    <row r="125" spans="1:3" x14ac:dyDescent="0.3">
      <c r="A125">
        <v>4350</v>
      </c>
      <c r="B125">
        <v>0.01</v>
      </c>
      <c r="C125">
        <v>0.98499999999999999</v>
      </c>
    </row>
    <row r="126" spans="1:3" x14ac:dyDescent="0.3">
      <c r="A126">
        <v>4400</v>
      </c>
      <c r="B126">
        <v>0.01</v>
      </c>
      <c r="C126">
        <v>0.98499999999999999</v>
      </c>
    </row>
    <row r="127" spans="1:3" x14ac:dyDescent="0.3">
      <c r="A127">
        <v>4450</v>
      </c>
      <c r="B127">
        <v>0.01</v>
      </c>
      <c r="C127">
        <v>0.98499999999999999</v>
      </c>
    </row>
    <row r="128" spans="1:3" x14ac:dyDescent="0.3">
      <c r="A128">
        <v>4500</v>
      </c>
      <c r="B128">
        <v>0.01</v>
      </c>
      <c r="C128">
        <v>0.98499999999999999</v>
      </c>
    </row>
    <row r="129" spans="1:3" x14ac:dyDescent="0.3">
      <c r="A129">
        <v>4550</v>
      </c>
      <c r="B129">
        <v>0.01</v>
      </c>
      <c r="C129">
        <v>0.98499999999999999</v>
      </c>
    </row>
    <row r="130" spans="1:3" x14ac:dyDescent="0.3">
      <c r="A130">
        <v>4600</v>
      </c>
      <c r="B130">
        <v>0.01</v>
      </c>
      <c r="C130">
        <v>0.98499999999999999</v>
      </c>
    </row>
    <row r="131" spans="1:3" x14ac:dyDescent="0.3">
      <c r="A131">
        <v>4650</v>
      </c>
      <c r="B131">
        <v>0.01</v>
      </c>
      <c r="C131">
        <v>0.98499999999999999</v>
      </c>
    </row>
    <row r="132" spans="1:3" x14ac:dyDescent="0.3">
      <c r="A132">
        <v>4700</v>
      </c>
      <c r="B132">
        <v>0.01</v>
      </c>
      <c r="C132">
        <v>0.98499999999999999</v>
      </c>
    </row>
    <row r="133" spans="1:3" x14ac:dyDescent="0.3">
      <c r="A133">
        <v>4750</v>
      </c>
      <c r="B133">
        <v>0.01</v>
      </c>
      <c r="C133">
        <v>0.98499999999999999</v>
      </c>
    </row>
    <row r="134" spans="1:3" x14ac:dyDescent="0.3">
      <c r="A134">
        <v>4800</v>
      </c>
      <c r="B134">
        <v>0.01</v>
      </c>
      <c r="C134">
        <v>0.98499999999999999</v>
      </c>
    </row>
    <row r="135" spans="1:3" x14ac:dyDescent="0.3">
      <c r="A135">
        <v>4850</v>
      </c>
      <c r="B135">
        <v>0.01</v>
      </c>
      <c r="C135">
        <v>0.98499999999999999</v>
      </c>
    </row>
    <row r="136" spans="1:3" x14ac:dyDescent="0.3">
      <c r="A136">
        <v>4900</v>
      </c>
      <c r="B136">
        <v>0.01</v>
      </c>
      <c r="C136">
        <v>0.98499999999999999</v>
      </c>
    </row>
    <row r="137" spans="1:3" x14ac:dyDescent="0.3">
      <c r="A137">
        <v>4950</v>
      </c>
      <c r="B137">
        <v>0.01</v>
      </c>
      <c r="C137">
        <v>0.98499999999999999</v>
      </c>
    </row>
    <row r="138" spans="1:3" x14ac:dyDescent="0.3">
      <c r="A138">
        <v>5000</v>
      </c>
      <c r="B138">
        <v>0.01</v>
      </c>
      <c r="C138">
        <v>0.98499999999999999</v>
      </c>
    </row>
    <row r="139" spans="1:3" x14ac:dyDescent="0.3">
      <c r="A139">
        <v>5050</v>
      </c>
      <c r="B139">
        <v>0.01</v>
      </c>
      <c r="C139">
        <v>0.98499999999999999</v>
      </c>
    </row>
    <row r="140" spans="1:3" x14ac:dyDescent="0.3">
      <c r="A140">
        <v>5100</v>
      </c>
      <c r="B140">
        <v>0.01</v>
      </c>
      <c r="C140">
        <v>0.98499999999999999</v>
      </c>
    </row>
    <row r="141" spans="1:3" x14ac:dyDescent="0.3">
      <c r="A141">
        <v>5150</v>
      </c>
      <c r="B141">
        <v>0.01</v>
      </c>
      <c r="C141">
        <v>0.98499999999999999</v>
      </c>
    </row>
    <row r="142" spans="1:3" x14ac:dyDescent="0.3">
      <c r="A142">
        <v>5200</v>
      </c>
      <c r="B142">
        <v>0.01</v>
      </c>
      <c r="C142">
        <v>0.98499999999999999</v>
      </c>
    </row>
    <row r="143" spans="1:3" x14ac:dyDescent="0.3">
      <c r="A143">
        <v>5250</v>
      </c>
      <c r="B143">
        <v>0.01</v>
      </c>
      <c r="C143">
        <v>0.98499999999999999</v>
      </c>
    </row>
    <row r="144" spans="1:3" x14ac:dyDescent="0.3">
      <c r="A144">
        <v>5300</v>
      </c>
      <c r="B144">
        <v>0.01</v>
      </c>
      <c r="C144">
        <v>0.98499999999999999</v>
      </c>
    </row>
    <row r="145" spans="1:3" x14ac:dyDescent="0.3">
      <c r="A145">
        <v>5350</v>
      </c>
      <c r="B145">
        <v>0.01</v>
      </c>
      <c r="C145">
        <v>0.98499999999999999</v>
      </c>
    </row>
    <row r="146" spans="1:3" x14ac:dyDescent="0.3">
      <c r="A146">
        <v>5400</v>
      </c>
      <c r="B146">
        <v>0.01</v>
      </c>
      <c r="C146">
        <v>0.98499999999999999</v>
      </c>
    </row>
    <row r="147" spans="1:3" x14ac:dyDescent="0.3">
      <c r="A147">
        <v>5450</v>
      </c>
      <c r="B147">
        <v>0.01</v>
      </c>
      <c r="C147">
        <v>0.98499999999999999</v>
      </c>
    </row>
    <row r="148" spans="1:3" x14ac:dyDescent="0.3">
      <c r="A148">
        <v>5500</v>
      </c>
      <c r="B148">
        <v>0.01</v>
      </c>
      <c r="C148">
        <v>0.98499999999999999</v>
      </c>
    </row>
    <row r="149" spans="1:3" x14ac:dyDescent="0.3">
      <c r="A149">
        <v>5550</v>
      </c>
      <c r="B149">
        <v>0.01</v>
      </c>
      <c r="C149">
        <v>0.98499999999999999</v>
      </c>
    </row>
    <row r="150" spans="1:3" x14ac:dyDescent="0.3">
      <c r="A150">
        <v>5600</v>
      </c>
      <c r="B150">
        <v>0.01</v>
      </c>
      <c r="C150">
        <v>0.98499999999999999</v>
      </c>
    </row>
    <row r="151" spans="1:3" x14ac:dyDescent="0.3">
      <c r="A151">
        <v>5650</v>
      </c>
      <c r="B151">
        <v>0.01</v>
      </c>
      <c r="C151">
        <v>0.98499999999999999</v>
      </c>
    </row>
    <row r="152" spans="1:3" x14ac:dyDescent="0.3">
      <c r="A152">
        <v>5700</v>
      </c>
      <c r="B152">
        <v>0.01</v>
      </c>
      <c r="C152">
        <v>0.98499999999999999</v>
      </c>
    </row>
    <row r="153" spans="1:3" x14ac:dyDescent="0.3">
      <c r="A153">
        <v>5750</v>
      </c>
      <c r="B153">
        <v>0.01</v>
      </c>
      <c r="C153">
        <v>0.98499999999999999</v>
      </c>
    </row>
    <row r="154" spans="1:3" x14ac:dyDescent="0.3">
      <c r="A154">
        <v>5800</v>
      </c>
      <c r="B154">
        <v>0.01</v>
      </c>
      <c r="C154">
        <v>0.98499999999999999</v>
      </c>
    </row>
    <row r="155" spans="1:3" x14ac:dyDescent="0.3">
      <c r="A155">
        <v>5850</v>
      </c>
      <c r="B155">
        <v>0.01</v>
      </c>
      <c r="C155">
        <v>0.98499999999999999</v>
      </c>
    </row>
    <row r="156" spans="1:3" x14ac:dyDescent="0.3">
      <c r="A156">
        <v>5900</v>
      </c>
      <c r="B156">
        <v>0.01</v>
      </c>
      <c r="C156">
        <v>0.98499999999999999</v>
      </c>
    </row>
    <row r="157" spans="1:3" x14ac:dyDescent="0.3">
      <c r="A157">
        <v>5950</v>
      </c>
      <c r="B157">
        <v>0.01</v>
      </c>
      <c r="C157">
        <v>0.98499999999999999</v>
      </c>
    </row>
    <row r="158" spans="1:3" x14ac:dyDescent="0.3">
      <c r="A158">
        <v>6000</v>
      </c>
      <c r="B158">
        <v>0.01</v>
      </c>
      <c r="C158">
        <v>0.98499999999999999</v>
      </c>
    </row>
    <row r="159" spans="1:3" x14ac:dyDescent="0.3">
      <c r="A159">
        <v>6050</v>
      </c>
      <c r="B159">
        <v>0.01</v>
      </c>
      <c r="C159">
        <v>0.98499999999999999</v>
      </c>
    </row>
    <row r="160" spans="1:3" x14ac:dyDescent="0.3">
      <c r="A160">
        <v>6100</v>
      </c>
      <c r="B160">
        <v>0.01</v>
      </c>
      <c r="C160">
        <v>0.98499999999999999</v>
      </c>
    </row>
    <row r="161" spans="1:3" x14ac:dyDescent="0.3">
      <c r="A161">
        <v>6150</v>
      </c>
      <c r="B161">
        <v>0.01</v>
      </c>
      <c r="C161">
        <v>0.98499999999999999</v>
      </c>
    </row>
    <row r="162" spans="1:3" x14ac:dyDescent="0.3">
      <c r="A162">
        <v>6200</v>
      </c>
      <c r="B162">
        <v>0.01</v>
      </c>
      <c r="C162">
        <v>0.98499999999999999</v>
      </c>
    </row>
    <row r="163" spans="1:3" x14ac:dyDescent="0.3">
      <c r="A163">
        <v>6250</v>
      </c>
      <c r="B163">
        <v>0.01</v>
      </c>
      <c r="C163">
        <v>0.98499999999999999</v>
      </c>
    </row>
    <row r="164" spans="1:3" x14ac:dyDescent="0.3">
      <c r="A164">
        <v>6300</v>
      </c>
      <c r="B164">
        <v>0.01</v>
      </c>
      <c r="C164">
        <v>0.98499999999999999</v>
      </c>
    </row>
    <row r="165" spans="1:3" x14ac:dyDescent="0.3">
      <c r="A165">
        <v>6350</v>
      </c>
      <c r="B165">
        <v>0.01</v>
      </c>
      <c r="C165">
        <v>0.98499999999999999</v>
      </c>
    </row>
    <row r="166" spans="1:3" x14ac:dyDescent="0.3">
      <c r="A166">
        <v>6400</v>
      </c>
      <c r="B166">
        <v>0.01</v>
      </c>
      <c r="C166">
        <v>0.98499999999999999</v>
      </c>
    </row>
    <row r="167" spans="1:3" x14ac:dyDescent="0.3">
      <c r="A167">
        <v>6450</v>
      </c>
      <c r="B167">
        <v>0.01</v>
      </c>
      <c r="C167">
        <v>0.98499999999999999</v>
      </c>
    </row>
    <row r="168" spans="1:3" x14ac:dyDescent="0.3">
      <c r="A168">
        <v>6500</v>
      </c>
      <c r="B168">
        <v>0.01</v>
      </c>
      <c r="C168">
        <v>0.98499999999999999</v>
      </c>
    </row>
    <row r="169" spans="1:3" x14ac:dyDescent="0.3">
      <c r="A169">
        <v>6550</v>
      </c>
      <c r="B169">
        <v>0.01</v>
      </c>
      <c r="C169">
        <v>0.98499999999999999</v>
      </c>
    </row>
    <row r="170" spans="1:3" x14ac:dyDescent="0.3">
      <c r="A170">
        <v>6600</v>
      </c>
      <c r="B170">
        <v>0.01</v>
      </c>
      <c r="C170">
        <v>0.98499999999999999</v>
      </c>
    </row>
    <row r="171" spans="1:3" x14ac:dyDescent="0.3">
      <c r="A171">
        <v>6650</v>
      </c>
      <c r="B171">
        <v>0.01</v>
      </c>
      <c r="C171">
        <v>0.98499999999999999</v>
      </c>
    </row>
    <row r="172" spans="1:3" x14ac:dyDescent="0.3">
      <c r="A172">
        <v>6700</v>
      </c>
      <c r="B172">
        <v>0.01</v>
      </c>
      <c r="C172">
        <v>0.98499999999999999</v>
      </c>
    </row>
    <row r="173" spans="1:3" x14ac:dyDescent="0.3">
      <c r="A173">
        <v>6750</v>
      </c>
      <c r="B173">
        <v>0.01</v>
      </c>
      <c r="C173">
        <v>0.98499999999999999</v>
      </c>
    </row>
    <row r="174" spans="1:3" x14ac:dyDescent="0.3">
      <c r="A174">
        <v>6800</v>
      </c>
      <c r="B174">
        <v>0.01</v>
      </c>
      <c r="C174">
        <v>0.98499999999999999</v>
      </c>
    </row>
    <row r="175" spans="1:3" x14ac:dyDescent="0.3">
      <c r="A175">
        <v>6850</v>
      </c>
      <c r="B175">
        <v>0.01</v>
      </c>
      <c r="C175">
        <v>0.98499999999999999</v>
      </c>
    </row>
    <row r="176" spans="1:3" x14ac:dyDescent="0.3">
      <c r="A176">
        <v>6900</v>
      </c>
      <c r="B176">
        <v>0.01</v>
      </c>
      <c r="C176">
        <v>0.98499999999999999</v>
      </c>
    </row>
    <row r="177" spans="1:3" x14ac:dyDescent="0.3">
      <c r="A177">
        <v>6950</v>
      </c>
      <c r="B177">
        <v>0.01</v>
      </c>
      <c r="C177">
        <v>0.98499999999999999</v>
      </c>
    </row>
    <row r="178" spans="1:3" x14ac:dyDescent="0.3">
      <c r="A178">
        <v>7000</v>
      </c>
      <c r="B178">
        <v>0.01</v>
      </c>
      <c r="C178">
        <v>0.98499999999999999</v>
      </c>
    </row>
    <row r="179" spans="1:3" x14ac:dyDescent="0.3">
      <c r="A179">
        <v>7050</v>
      </c>
      <c r="B179">
        <v>0.01</v>
      </c>
      <c r="C179">
        <v>0.98499999999999999</v>
      </c>
    </row>
    <row r="180" spans="1:3" x14ac:dyDescent="0.3">
      <c r="A180">
        <v>7100</v>
      </c>
      <c r="B180">
        <v>0.01</v>
      </c>
      <c r="C180">
        <v>0.98499999999999999</v>
      </c>
    </row>
    <row r="181" spans="1:3" x14ac:dyDescent="0.3">
      <c r="A181">
        <v>7150</v>
      </c>
      <c r="B181">
        <v>0.01</v>
      </c>
      <c r="C181">
        <v>0.98499999999999999</v>
      </c>
    </row>
    <row r="182" spans="1:3" x14ac:dyDescent="0.3">
      <c r="A182">
        <v>7200</v>
      </c>
      <c r="B182">
        <v>0.01</v>
      </c>
      <c r="C182">
        <v>0.98499999999999999</v>
      </c>
    </row>
    <row r="183" spans="1:3" x14ac:dyDescent="0.3">
      <c r="A183">
        <v>7250</v>
      </c>
      <c r="B183">
        <v>0.01</v>
      </c>
      <c r="C183">
        <v>0.98499999999999999</v>
      </c>
    </row>
    <row r="184" spans="1:3" x14ac:dyDescent="0.3">
      <c r="A184">
        <v>7300</v>
      </c>
      <c r="B184">
        <v>0.01</v>
      </c>
      <c r="C184">
        <v>0.98499999999999999</v>
      </c>
    </row>
    <row r="185" spans="1:3" x14ac:dyDescent="0.3">
      <c r="A185">
        <v>7350</v>
      </c>
      <c r="B185">
        <v>0.01</v>
      </c>
      <c r="C185">
        <v>0.98499999999999999</v>
      </c>
    </row>
    <row r="186" spans="1:3" x14ac:dyDescent="0.3">
      <c r="A186">
        <v>7400</v>
      </c>
      <c r="B186">
        <v>0.01</v>
      </c>
      <c r="C186">
        <v>0.98499999999999999</v>
      </c>
    </row>
    <row r="187" spans="1:3" x14ac:dyDescent="0.3">
      <c r="A187">
        <v>7450</v>
      </c>
      <c r="B187">
        <v>0.01</v>
      </c>
      <c r="C187">
        <v>0.98499999999999999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12"/>
  <sheetViews>
    <sheetView workbookViewId="0">
      <selection activeCell="K30" sqref="K30"/>
    </sheetView>
  </sheetViews>
  <sheetFormatPr defaultRowHeight="14.4" x14ac:dyDescent="0.3"/>
  <sheetData>
    <row r="1" spans="1:4" x14ac:dyDescent="0.3">
      <c r="A1" t="s">
        <v>81</v>
      </c>
    </row>
    <row r="2" spans="1:4" x14ac:dyDescent="0.3">
      <c r="A2" t="s">
        <v>57</v>
      </c>
      <c r="B2" t="s">
        <v>53</v>
      </c>
      <c r="C2" t="s">
        <v>54</v>
      </c>
      <c r="D2" t="s">
        <v>58</v>
      </c>
    </row>
    <row r="3" spans="1:4" x14ac:dyDescent="0.3">
      <c r="A3">
        <f>2.01613*(29979200000/1000000000)</f>
        <v>60.441964495999997</v>
      </c>
      <c r="B3">
        <v>0.99573999999999996</v>
      </c>
      <c r="C3">
        <f>1-B3</f>
        <v>4.2600000000000415E-3</v>
      </c>
    </row>
    <row r="4" spans="1:4" x14ac:dyDescent="0.3">
      <c r="A4">
        <f>2.066533*(29979200000/1000000000)</f>
        <v>61.953006113600004</v>
      </c>
      <c r="B4">
        <v>0.98734</v>
      </c>
      <c r="C4">
        <f t="shared" ref="C4:C6" si="0">1-B4</f>
        <v>1.2660000000000005E-2</v>
      </c>
    </row>
    <row r="5" spans="1:4" x14ac:dyDescent="0.3">
      <c r="A5">
        <f>2.116936*(29979200000/1000000000)</f>
        <v>63.464047731199997</v>
      </c>
      <c r="B5">
        <v>0.98375999999999997</v>
      </c>
      <c r="C5">
        <f t="shared" si="0"/>
        <v>1.6240000000000032E-2</v>
      </c>
    </row>
    <row r="6" spans="1:4" x14ac:dyDescent="0.3">
      <c r="A6">
        <f>2.167339*(29979200000/1000000000)</f>
        <v>64.975089348799997</v>
      </c>
      <c r="B6">
        <v>0.87300999999999995</v>
      </c>
      <c r="C6">
        <f t="shared" si="0"/>
        <v>0.12699000000000005</v>
      </c>
    </row>
    <row r="7" spans="1:4" x14ac:dyDescent="0.3">
      <c r="A7">
        <f>2.217742*(29979200000/1000000000)</f>
        <v>66.486130966399998</v>
      </c>
      <c r="B7">
        <v>0.82752999999999999</v>
      </c>
      <c r="C7">
        <f>MAX(0,(-B7+1/EXP((Data!$N$58*2.54)*(Data!$V$60+Data!$V$61*($A7/1000)+Data!$V$62*($A7/1000)^2+Data!$V$63*($A7/1000)^3+Data!$V$64*($A7/1000)^4+Data!$V$65*($A7/1000)^5+Data!$V$66*($A7/1000)^6+Data!$V$67*($A7/1000)^7))))</f>
        <v>0.17084704294355502</v>
      </c>
    </row>
    <row r="8" spans="1:4" x14ac:dyDescent="0.3">
      <c r="A8">
        <f>2.268145*(29979200000/1000000000)</f>
        <v>67.997172583999998</v>
      </c>
      <c r="B8">
        <v>0.88646000000000003</v>
      </c>
      <c r="C8">
        <f>MAX(0,(-B8+1/EXP((Data!$N$58*2.54)*(Data!$V$60+Data!$V$61*($A8/1000)+Data!$V$62*($A8/1000)^2+Data!$V$63*($A8/1000)^3+Data!$V$64*($A8/1000)^4+Data!$V$65*($A8/1000)^5+Data!$V$66*($A8/1000)^6+Data!$V$67*($A8/1000)^7))))</f>
        <v>0.10913817142010407</v>
      </c>
    </row>
    <row r="9" spans="1:4" x14ac:dyDescent="0.3">
      <c r="A9">
        <f>2.318548*(29979200000/1000000000)</f>
        <v>69.508214201599998</v>
      </c>
      <c r="B9">
        <v>0.86592999999999998</v>
      </c>
      <c r="C9">
        <f>MAX(0,(-B9+1/EXP((Data!$N$58*2.54)*(Data!$V$60+Data!$V$61*($A9/1000)+Data!$V$62*($A9/1000)^2+Data!$V$63*($A9/1000)^3+Data!$V$64*($A9/1000)^4+Data!$V$65*($A9/1000)^5+Data!$V$66*($A9/1000)^6+Data!$V$67*($A9/1000)^7))))</f>
        <v>0.12690263916396005</v>
      </c>
    </row>
    <row r="10" spans="1:4" x14ac:dyDescent="0.3">
      <c r="A10">
        <f>2.368951*(29979200000/1000000000)</f>
        <v>71.019255819199998</v>
      </c>
      <c r="B10">
        <v>0.96653999999999995</v>
      </c>
      <c r="C10">
        <f>MAX(0,(-B10+1/EXP((Data!$N$58*2.54)*(Data!$V$60+Data!$V$61*($A10/1000)+Data!$V$62*($A10/1000)^2+Data!$V$63*($A10/1000)^3+Data!$V$64*($A10/1000)^4+Data!$V$65*($A10/1000)^5+Data!$V$66*($A10/1000)^6+Data!$V$67*($A10/1000)^7))))</f>
        <v>2.3540378279677809E-2</v>
      </c>
    </row>
    <row r="11" spans="1:4" x14ac:dyDescent="0.3">
      <c r="A11">
        <f>2.419354*(29979200000/1000000000)</f>
        <v>72.530297436799998</v>
      </c>
      <c r="B11">
        <v>0.98680999999999996</v>
      </c>
      <c r="C11">
        <f>MAX(0,(-B11+1/EXP((Data!$N$58*2.54)*(Data!$V$60+Data!$V$61*($A11/1000)+Data!$V$62*($A11/1000)^2+Data!$V$63*($A11/1000)^3+Data!$V$64*($A11/1000)^4+Data!$V$65*($A11/1000)^5+Data!$V$66*($A11/1000)^6+Data!$V$67*($A11/1000)^7))))</f>
        <v>5.3132126746502362E-4</v>
      </c>
    </row>
    <row r="12" spans="1:4" x14ac:dyDescent="0.3">
      <c r="A12">
        <f>2.469757*(29979200000/1000000000)</f>
        <v>74.041339054399998</v>
      </c>
      <c r="B12">
        <v>0.97257000000000005</v>
      </c>
      <c r="C12">
        <f>MAX(0,(-B12+1/EXP((Data!$N$58*2.54)*(Data!$V$60+Data!$V$61*($A12/1000)+Data!$V$62*($A12/1000)^2+Data!$V$63*($A12/1000)^3+Data!$V$64*($A12/1000)^4+Data!$V$65*($A12/1000)^5+Data!$V$66*($A12/1000)^6+Data!$V$67*($A12/1000)^7))))</f>
        <v>1.2045401020504998E-2</v>
      </c>
    </row>
    <row r="13" spans="1:4" x14ac:dyDescent="0.3">
      <c r="A13">
        <f>2.52016*(29979200000/1000000000)</f>
        <v>75.552380671999984</v>
      </c>
      <c r="B13">
        <v>0.95733000000000001</v>
      </c>
      <c r="C13">
        <f>MAX(0,(-B13+1/EXP((Data!$N$58*2.54)*(Data!$V$60+Data!$V$61*($A13/1000)+Data!$V$62*($A13/1000)^2+Data!$V$63*($A13/1000)^3+Data!$V$64*($A13/1000)^4+Data!$V$65*($A13/1000)^5+Data!$V$66*($A13/1000)^6+Data!$V$67*($A13/1000)^7))))</f>
        <v>2.4572550822305139E-2</v>
      </c>
    </row>
    <row r="14" spans="1:4" x14ac:dyDescent="0.3">
      <c r="A14">
        <f>2.570563*(29979200000/1000000000)</f>
        <v>77.063422289599998</v>
      </c>
      <c r="B14">
        <v>0.95399</v>
      </c>
      <c r="C14">
        <f>MAX(0,(-B14+1/EXP((Data!$N$58*2.54)*(Data!$V$60+Data!$V$61*($A14/1000)+Data!$V$62*($A14/1000)^2+Data!$V$63*($A14/1000)^3+Data!$V$64*($A14/1000)^4+Data!$V$65*($A14/1000)^5+Data!$V$66*($A14/1000)^6+Data!$V$67*($A14/1000)^7))))</f>
        <v>2.521270434406131E-2</v>
      </c>
    </row>
    <row r="15" spans="1:4" x14ac:dyDescent="0.3">
      <c r="A15">
        <f>2.620966*(29979200000/1000000000)</f>
        <v>78.574463907199998</v>
      </c>
      <c r="B15">
        <v>0.92984</v>
      </c>
      <c r="C15">
        <f>MAX(0,(-B15+1/EXP((Data!$N$58*2.54)*(Data!$V$60+Data!$V$61*($A15/1000)+Data!$V$62*($A15/1000)^2+Data!$V$63*($A15/1000)^3+Data!$V$64*($A15/1000)^4+Data!$V$65*($A15/1000)^5+Data!$V$66*($A15/1000)^6+Data!$V$67*($A15/1000)^7))))</f>
        <v>4.667579564204849E-2</v>
      </c>
    </row>
    <row r="16" spans="1:4" x14ac:dyDescent="0.3">
      <c r="A16">
        <f>2.671369*(29979200000/1000000000)</f>
        <v>80.085505524799999</v>
      </c>
      <c r="B16">
        <v>0.95382</v>
      </c>
      <c r="C16">
        <f>MAX(0,(-B16+1/EXP((Data!$N$58*2.54)*(Data!$V$60+Data!$V$61*($A16/1000)+Data!$V$62*($A16/1000)^2+Data!$V$63*($A16/1000)^3+Data!$V$64*($A16/1000)^4+Data!$V$65*($A16/1000)^5+Data!$V$66*($A16/1000)^6+Data!$V$67*($A16/1000)^7))))</f>
        <v>2.0021759155026908E-2</v>
      </c>
    </row>
    <row r="17" spans="1:3" x14ac:dyDescent="0.3">
      <c r="A17">
        <f>2.721772*(29979200000/1000000000)</f>
        <v>81.596547142399999</v>
      </c>
      <c r="B17">
        <v>0.94491999999999998</v>
      </c>
      <c r="C17">
        <f>MAX(0,(-B17+1/EXP((Data!$N$58*2.54)*(Data!$V$60+Data!$V$61*($A17/1000)+Data!$V$62*($A17/1000)^2+Data!$V$63*($A17/1000)^3+Data!$V$64*($A17/1000)^4+Data!$V$65*($A17/1000)^5+Data!$V$66*($A17/1000)^6+Data!$V$67*($A17/1000)^7))))</f>
        <v>2.6260529701672364E-2</v>
      </c>
    </row>
    <row r="18" spans="1:3" x14ac:dyDescent="0.3">
      <c r="A18">
        <f>2.772175*(29979200000/1000000000)</f>
        <v>83.107588759999985</v>
      </c>
      <c r="B18">
        <v>0.92496</v>
      </c>
      <c r="C18">
        <f>MAX(0,(-B18+1/EXP((Data!$N$58*2.54)*(Data!$V$60+Data!$V$61*($A18/1000)+Data!$V$62*($A18/1000)^2+Data!$V$63*($A18/1000)^3+Data!$V$64*($A18/1000)^4+Data!$V$65*($A18/1000)^5+Data!$V$66*($A18/1000)^6+Data!$V$67*($A18/1000)^7))))</f>
        <v>4.3572042478024597E-2</v>
      </c>
    </row>
    <row r="19" spans="1:3" x14ac:dyDescent="0.3">
      <c r="A19">
        <f>2.822578*(29979200000/1000000000)</f>
        <v>84.618630377599999</v>
      </c>
      <c r="B19">
        <v>0.90063000000000004</v>
      </c>
      <c r="C19">
        <f>MAX(0,(-B19+1/EXP((Data!$N$58*2.54)*(Data!$V$60+Data!$V$61*($A19/1000)+Data!$V$62*($A19/1000)^2+Data!$V$63*($A19/1000)^3+Data!$V$64*($A19/1000)^4+Data!$V$65*($A19/1000)^5+Data!$V$66*($A19/1000)^6+Data!$V$67*($A19/1000)^7))))</f>
        <v>6.526623305495749E-2</v>
      </c>
    </row>
    <row r="20" spans="1:3" x14ac:dyDescent="0.3">
      <c r="A20">
        <f>2.872981*(29979200000/1000000000)</f>
        <v>86.129671995199999</v>
      </c>
      <c r="B20">
        <v>0.88400000000000001</v>
      </c>
      <c r="C20">
        <f>MAX(0,(-B20+1/EXP((Data!$N$58*2.54)*(Data!$V$60+Data!$V$61*($A20/1000)+Data!$V$62*($A20/1000)^2+Data!$V$63*($A20/1000)^3+Data!$V$64*($A20/1000)^4+Data!$V$65*($A20/1000)^5+Data!$V$66*($A20/1000)^6+Data!$V$67*($A20/1000)^7))))</f>
        <v>7.92730373756666E-2</v>
      </c>
    </row>
    <row r="21" spans="1:3" x14ac:dyDescent="0.3">
      <c r="A21">
        <f>2.923384*(29979200000/1000000000)</f>
        <v>87.640713612799999</v>
      </c>
      <c r="B21">
        <v>0.89690999999999999</v>
      </c>
      <c r="C21">
        <f>MAX(0,(-B21+1/EXP((Data!$N$58*2.54)*(Data!$V$60+Data!$V$61*($A21/1000)+Data!$V$62*($A21/1000)^2+Data!$V$63*($A21/1000)^3+Data!$V$64*($A21/1000)^4+Data!$V$65*($A21/1000)^5+Data!$V$66*($A21/1000)^6+Data!$V$67*($A21/1000)^7))))</f>
        <v>6.3752391753179594E-2</v>
      </c>
    </row>
    <row r="22" spans="1:3" x14ac:dyDescent="0.3">
      <c r="A22">
        <f>2.973787*(29979200000/1000000000)</f>
        <v>89.151755230399999</v>
      </c>
      <c r="B22">
        <v>0.90244999999999997</v>
      </c>
      <c r="C22">
        <f>MAX(0,(-B22+1/EXP((Data!$N$58*2.54)*(Data!$V$60+Data!$V$61*($A22/1000)+Data!$V$62*($A22/1000)^2+Data!$V$63*($A22/1000)^3+Data!$V$64*($A22/1000)^4+Data!$V$65*($A22/1000)^5+Data!$V$66*($A22/1000)^6+Data!$V$67*($A22/1000)^7))))</f>
        <v>5.5614232867883029E-2</v>
      </c>
    </row>
    <row r="23" spans="1:3" x14ac:dyDescent="0.3">
      <c r="A23">
        <f>3.02419*(29979200000/1000000000)</f>
        <v>90.662796847999999</v>
      </c>
      <c r="B23">
        <v>0.90981000000000001</v>
      </c>
      <c r="C23">
        <f>MAX(0,(-B23+1/EXP((Data!$N$58*2.54)*(Data!$V$60+Data!$V$61*($A23/1000)+Data!$V$62*($A23/1000)^2+Data!$V$63*($A23/1000)^3+Data!$V$64*($A23/1000)^4+Data!$V$65*($A23/1000)^5+Data!$V$66*($A23/1000)^6+Data!$V$67*($A23/1000)^7))))</f>
        <v>4.5668497765070426E-2</v>
      </c>
    </row>
    <row r="24" spans="1:3" x14ac:dyDescent="0.3">
      <c r="A24">
        <f>3.074593*(29979200000/1000000000)</f>
        <v>92.173838465599999</v>
      </c>
      <c r="B24">
        <v>0.89451999999999998</v>
      </c>
      <c r="C24">
        <f>MAX(0,(-B24+1/EXP((Data!$N$58*2.54)*(Data!$V$60+Data!$V$61*($A24/1000)+Data!$V$62*($A24/1000)^2+Data!$V$63*($A24/1000)^3+Data!$V$64*($A24/1000)^4+Data!$V$65*($A24/1000)^5+Data!$V$66*($A24/1000)^6+Data!$V$67*($A24/1000)^7))))</f>
        <v>5.8385123852509269E-2</v>
      </c>
    </row>
    <row r="25" spans="1:3" x14ac:dyDescent="0.3">
      <c r="A25">
        <f>3.124996*(29979200000/1000000000)</f>
        <v>93.684880083199999</v>
      </c>
      <c r="B25">
        <v>0.90510999999999997</v>
      </c>
      <c r="C25">
        <f>MAX(0,(-B25+1/EXP((Data!$N$58*2.54)*(Data!$V$60+Data!$V$61*($A25/1000)+Data!$V$62*($A25/1000)^2+Data!$V$63*($A25/1000)^3+Data!$V$64*($A25/1000)^4+Data!$V$65*($A25/1000)^5+Data!$V$66*($A25/1000)^6+Data!$V$67*($A25/1000)^7))))</f>
        <v>4.5234048898025736E-2</v>
      </c>
    </row>
    <row r="26" spans="1:3" x14ac:dyDescent="0.3">
      <c r="A26">
        <f>3.175399*(29979200000/1000000000)</f>
        <v>95.1959217008</v>
      </c>
      <c r="B26">
        <v>0.89158000000000004</v>
      </c>
      <c r="C26">
        <f>MAX(0,(-B26+1/EXP((Data!$N$58*2.54)*(Data!$V$60+Data!$V$61*($A26/1000)+Data!$V$62*($A26/1000)^2+Data!$V$63*($A26/1000)^3+Data!$V$64*($A26/1000)^4+Data!$V$65*($A26/1000)^5+Data!$V$66*($A26/1000)^6+Data!$V$67*($A26/1000)^7))))</f>
        <v>5.621521102710958E-2</v>
      </c>
    </row>
    <row r="27" spans="1:3" x14ac:dyDescent="0.3">
      <c r="A27">
        <f>3.225802*(29979200000/1000000000)</f>
        <v>96.706963318399985</v>
      </c>
      <c r="B27">
        <v>0.88168999999999997</v>
      </c>
      <c r="C27">
        <f>MAX(0,(-B27+1/EXP((Data!$N$58*2.54)*(Data!$V$60+Data!$V$61*($A27/1000)+Data!$V$62*($A27/1000)^2+Data!$V$63*($A27/1000)^3+Data!$V$64*($A27/1000)^4+Data!$V$65*($A27/1000)^5+Data!$V$66*($A27/1000)^6+Data!$V$67*($A27/1000)^7))))</f>
        <v>6.3568548720536855E-2</v>
      </c>
    </row>
    <row r="28" spans="1:3" x14ac:dyDescent="0.3">
      <c r="A28">
        <f>3.276205*(29979200000/1000000000)</f>
        <v>98.218004936</v>
      </c>
      <c r="B28">
        <v>0.85897999999999997</v>
      </c>
      <c r="C28">
        <f>MAX(0,(-B28+1/EXP((Data!$N$58*2.54)*(Data!$V$60+Data!$V$61*($A28/1000)+Data!$V$62*($A28/1000)^2+Data!$V$63*($A28/1000)^3+Data!$V$64*($A28/1000)^4+Data!$V$65*($A28/1000)^5+Data!$V$66*($A28/1000)^6+Data!$V$67*($A28/1000)^7))))</f>
        <v>8.3754000812010787E-2</v>
      </c>
    </row>
    <row r="29" spans="1:3" x14ac:dyDescent="0.3">
      <c r="A29">
        <f>3.326608*(29979200000/1000000000)</f>
        <v>99.7290465536</v>
      </c>
      <c r="B29">
        <v>0.80225000000000002</v>
      </c>
      <c r="C29">
        <f>MAX(0,(-B29+1/EXP((Data!$N$58*2.54)*(Data!$V$60+Data!$V$61*($A29/1000)+Data!$V$62*($A29/1000)^2+Data!$V$63*($A29/1000)^3+Data!$V$64*($A29/1000)^4+Data!$V$65*($A29/1000)^5+Data!$V$66*($A29/1000)^6+Data!$V$67*($A29/1000)^7))))</f>
        <v>0.13797150648582146</v>
      </c>
    </row>
    <row r="30" spans="1:3" x14ac:dyDescent="0.3">
      <c r="A30">
        <f>3.377011*(29979200000/1000000000)</f>
        <v>101.2400881712</v>
      </c>
      <c r="B30">
        <v>0.75261999999999996</v>
      </c>
      <c r="C30">
        <f>MAX(0,(-B30+1/EXP((Data!$N$58*2.54)*(Data!$V$60+Data!$V$61*($A30/1000)+Data!$V$62*($A30/1000)^2+Data!$V$63*($A30/1000)^3+Data!$V$64*($A30/1000)^4+Data!$V$65*($A30/1000)^5+Data!$V$66*($A30/1000)^6+Data!$V$67*($A30/1000)^7))))</f>
        <v>0.18510100527452444</v>
      </c>
    </row>
    <row r="31" spans="1:3" x14ac:dyDescent="0.3">
      <c r="A31">
        <f>3.427414*(29979200000/1000000000)</f>
        <v>102.7511297888</v>
      </c>
      <c r="B31">
        <v>0.72751999999999994</v>
      </c>
      <c r="C31">
        <f>MAX(0,(-B31+1/EXP((Data!$N$58*2.54)*(Data!$V$60+Data!$V$61*($A31/1000)+Data!$V$62*($A31/1000)^2+Data!$V$63*($A31/1000)^3+Data!$V$64*($A31/1000)^4+Data!$V$65*($A31/1000)^5+Data!$V$66*($A31/1000)^6+Data!$V$67*($A31/1000)^7))))</f>
        <v>0.207712437056634</v>
      </c>
    </row>
    <row r="32" spans="1:3" x14ac:dyDescent="0.3">
      <c r="A32">
        <f>3.477817*(29979200000/1000000000)</f>
        <v>104.2621714064</v>
      </c>
      <c r="B32">
        <v>0.63338000000000005</v>
      </c>
      <c r="C32">
        <f>MAX(0,(-B32+1/EXP((Data!$N$58*2.54)*(Data!$V$60+Data!$V$61*($A32/1000)+Data!$V$62*($A32/1000)^2+Data!$V$63*($A32/1000)^3+Data!$V$64*($A32/1000)^4+Data!$V$65*($A32/1000)^5+Data!$V$66*($A32/1000)^6+Data!$V$67*($A32/1000)^7))))</f>
        <v>0.29937574205433815</v>
      </c>
    </row>
    <row r="33" spans="1:3" x14ac:dyDescent="0.3">
      <c r="A33">
        <f>3.52822*(29979200000/1000000000)</f>
        <v>105.773213024</v>
      </c>
      <c r="B33">
        <v>0.43734000000000001</v>
      </c>
      <c r="C33">
        <f>MAX(0,(-B33+1/EXP((Data!$N$58*2.54)*(Data!$V$60+Data!$V$61*($A33/1000)+Data!$V$62*($A33/1000)^2+Data!$V$63*($A33/1000)^3+Data!$V$64*($A33/1000)^4+Data!$V$65*($A33/1000)^5+Data!$V$66*($A33/1000)^6+Data!$V$67*($A33/1000)^7))))</f>
        <v>0.49295086083122924</v>
      </c>
    </row>
    <row r="34" spans="1:3" x14ac:dyDescent="0.3">
      <c r="A34">
        <f>3.578623*(29979200000/1000000000)</f>
        <v>107.2842546416</v>
      </c>
      <c r="B34">
        <v>0.25596000000000002</v>
      </c>
      <c r="C34">
        <f>MAX(0,(-B34+1/EXP((Data!$N$58*2.54)*(Data!$V$60+Data!$V$61*($A34/1000)+Data!$V$62*($A34/1000)^2+Data!$V$63*($A34/1000)^3+Data!$V$64*($A34/1000)^4+Data!$V$65*($A34/1000)^5+Data!$V$66*($A34/1000)^6+Data!$V$67*($A34/1000)^7))))</f>
        <v>0.6718777342900506</v>
      </c>
    </row>
    <row r="35" spans="1:3" x14ac:dyDescent="0.3">
      <c r="A35">
        <f>3.629026*(29979200000/1000000000)</f>
        <v>108.7952962592</v>
      </c>
      <c r="B35">
        <v>0.12797</v>
      </c>
      <c r="C35">
        <f>MAX(0,(-B35+1/EXP((Data!$N$58*2.54)*(Data!$V$60+Data!$V$61*($A35/1000)+Data!$V$62*($A35/1000)^2+Data!$V$63*($A35/1000)^3+Data!$V$64*($A35/1000)^4+Data!$V$65*($A35/1000)^5+Data!$V$66*($A35/1000)^6+Data!$V$67*($A35/1000)^7))))</f>
        <v>0.79742630367046352</v>
      </c>
    </row>
    <row r="36" spans="1:3" x14ac:dyDescent="0.3">
      <c r="A36">
        <f>3.679429*(29979200000/1000000000)</f>
        <v>110.30633787679999</v>
      </c>
      <c r="B36">
        <v>6.3560000000000005E-2</v>
      </c>
      <c r="C36">
        <f>MAX(0,(-B36+1/EXP((Data!$N$58*2.54)*(Data!$V$60+Data!$V$61*($A36/1000)+Data!$V$62*($A36/1000)^2+Data!$V$63*($A36/1000)^3+Data!$V$64*($A36/1000)^4+Data!$V$65*($A36/1000)^5+Data!$V$66*($A36/1000)^6+Data!$V$67*($A36/1000)^7))))</f>
        <v>0.85940651054682871</v>
      </c>
    </row>
    <row r="37" spans="1:3" x14ac:dyDescent="0.3">
      <c r="A37">
        <f>3.729832*(29979200000/1000000000)</f>
        <v>111.8173794944</v>
      </c>
      <c r="B37">
        <v>2.6780000000000002E-2</v>
      </c>
      <c r="C37">
        <f>MAX(0,(-B37+1/EXP((Data!$N$58*2.54)*(Data!$V$60+Data!$V$61*($A37/1000)+Data!$V$62*($A37/1000)^2+Data!$V$63*($A37/1000)^3+Data!$V$64*($A37/1000)^4+Data!$V$65*($A37/1000)^5+Data!$V$66*($A37/1000)^6+Data!$V$67*($A37/1000)^7))))</f>
        <v>0.89376829682600611</v>
      </c>
    </row>
    <row r="38" spans="1:3" x14ac:dyDescent="0.3">
      <c r="A38">
        <f>3.780235*(29979200000/1000000000)</f>
        <v>113.328421112</v>
      </c>
      <c r="B38">
        <v>9.1000000000000004E-3</v>
      </c>
      <c r="C38">
        <f>MAX(0,(-B38+1/EXP((Data!$N$58*2.54)*(Data!$V$60+Data!$V$61*($A38/1000)+Data!$V$62*($A38/1000)^2+Data!$V$63*($A38/1000)^3+Data!$V$64*($A38/1000)^4+Data!$V$65*($A38/1000)^5+Data!$V$66*($A38/1000)^6+Data!$V$67*($A38/1000)^7))))</f>
        <v>0.90904160474517082</v>
      </c>
    </row>
    <row r="39" spans="1:3" x14ac:dyDescent="0.3">
      <c r="A39">
        <f>3.830638*(29979200000/1000000000)</f>
        <v>114.8394627296</v>
      </c>
      <c r="B39">
        <v>2.5999999999999999E-3</v>
      </c>
      <c r="C39">
        <f>MAX(0,(-B39+1/EXP((Data!$N$58*2.54)*(Data!$V$60+Data!$V$61*($A39/1000)+Data!$V$62*($A39/1000)^2+Data!$V$63*($A39/1000)^3+Data!$V$64*($A39/1000)^4+Data!$V$65*($A39/1000)^5+Data!$V$66*($A39/1000)^6+Data!$V$67*($A39/1000)^7))))</f>
        <v>0.91314637686964517</v>
      </c>
    </row>
    <row r="40" spans="1:3" x14ac:dyDescent="0.3">
      <c r="A40">
        <f>3.881041*(29979200000/1000000000)</f>
        <v>116.3505043472</v>
      </c>
      <c r="B40">
        <v>5.7200000000000003E-3</v>
      </c>
      <c r="C40">
        <f>MAX(0,(-B40+1/EXP((Data!$N$58*2.54)*(Data!$V$60+Data!$V$61*($A40/1000)+Data!$V$62*($A40/1000)^2+Data!$V$63*($A40/1000)^3+Data!$V$64*($A40/1000)^4+Data!$V$65*($A40/1000)^5+Data!$V$66*($A40/1000)^6+Data!$V$67*($A40/1000)^7))))</f>
        <v>0.90764255609074929</v>
      </c>
    </row>
    <row r="41" spans="1:3" x14ac:dyDescent="0.3">
      <c r="A41">
        <f>3.931444*(29979200000/1000000000)</f>
        <v>117.86154596479999</v>
      </c>
      <c r="B41">
        <v>7.5700000000000003E-3</v>
      </c>
      <c r="C41">
        <f>MAX(0,(-B41+1/EXP((Data!$N$58*2.54)*(Data!$V$60+Data!$V$61*($A41/1000)+Data!$V$62*($A41/1000)^2+Data!$V$63*($A41/1000)^3+Data!$V$64*($A41/1000)^4+Data!$V$65*($A41/1000)^5+Data!$V$66*($A41/1000)^6+Data!$V$67*($A41/1000)^7))))</f>
        <v>0.90342008562366505</v>
      </c>
    </row>
    <row r="42" spans="1:3" x14ac:dyDescent="0.3">
      <c r="A42">
        <f>3.981847*(29979200000/1000000000)</f>
        <v>119.3725875824</v>
      </c>
      <c r="B42">
        <v>6.62E-3</v>
      </c>
      <c r="C42">
        <f>MAX(0,(-B42+1/EXP((Data!$N$58*2.54)*(Data!$V$60+Data!$V$61*($A42/1000)+Data!$V$62*($A42/1000)^2+Data!$V$63*($A42/1000)^3+Data!$V$64*($A42/1000)^4+Data!$V$65*($A42/1000)^5+Data!$V$66*($A42/1000)^6+Data!$V$67*($A42/1000)^7))))</f>
        <v>0.90200890900531849</v>
      </c>
    </row>
    <row r="43" spans="1:3" x14ac:dyDescent="0.3">
      <c r="A43">
        <f>4.03225*(29979200000/1000000000)</f>
        <v>120.88362919999997</v>
      </c>
      <c r="B43">
        <v>8.0999999999999996E-3</v>
      </c>
      <c r="C43">
        <f>MAX(0,(-B43+1/EXP((Data!$N$58*2.54)*(Data!$V$60+Data!$V$61*($A43/1000)+Data!$V$62*($A43/1000)^2+Data!$V$63*($A43/1000)^3+Data!$V$64*($A43/1000)^4+Data!$V$65*($A43/1000)^5+Data!$V$66*($A43/1000)^6+Data!$V$67*($A43/1000)^7))))</f>
        <v>0.89817897009227732</v>
      </c>
    </row>
    <row r="44" spans="1:3" x14ac:dyDescent="0.3">
      <c r="A44">
        <f>4.082653*(29979200000/1000000000)</f>
        <v>122.39467081760002</v>
      </c>
      <c r="B44">
        <v>7.8200000000000006E-3</v>
      </c>
      <c r="C44">
        <f>MAX(0,(-B44+1/EXP((Data!$N$58*2.54)*(Data!$V$60+Data!$V$61*($A44/1000)+Data!$V$62*($A44/1000)^2+Data!$V$63*($A44/1000)^3+Data!$V$64*($A44/1000)^4+Data!$V$65*($A44/1000)^5+Data!$V$66*($A44/1000)^6+Data!$V$67*($A44/1000)^7))))</f>
        <v>0.89612021305866385</v>
      </c>
    </row>
    <row r="45" spans="1:3" x14ac:dyDescent="0.3">
      <c r="A45">
        <f>4.133056*(29979200000/1000000000)</f>
        <v>123.90571243519999</v>
      </c>
      <c r="B45">
        <v>4.0200000000000001E-3</v>
      </c>
      <c r="C45">
        <f>MAX(0,(-B45+1/EXP((Data!$N$58*2.54)*(Data!$V$60+Data!$V$61*($A45/1000)+Data!$V$62*($A45/1000)^2+Data!$V$63*($A45/1000)^3+Data!$V$64*($A45/1000)^4+Data!$V$65*($A45/1000)^5+Data!$V$66*($A45/1000)^6+Data!$V$67*($A45/1000)^7))))</f>
        <v>0.89759258239408501</v>
      </c>
    </row>
    <row r="46" spans="1:3" x14ac:dyDescent="0.3">
      <c r="A46">
        <f>4.183459*(29979200000/1000000000)</f>
        <v>125.4167540528</v>
      </c>
      <c r="B46">
        <v>4.8399999999999997E-3</v>
      </c>
      <c r="C46">
        <f>MAX(0,(-B46+1/EXP((Data!$N$58*2.54)*(Data!$V$60+Data!$V$61*($A46/1000)+Data!$V$62*($A46/1000)^2+Data!$V$63*($A46/1000)^3+Data!$V$64*($A46/1000)^4+Data!$V$65*($A46/1000)^5+Data!$V$66*($A46/1000)^6+Data!$V$67*($A46/1000)^7))))</f>
        <v>0.89445602290157589</v>
      </c>
    </row>
    <row r="47" spans="1:3" x14ac:dyDescent="0.3">
      <c r="A47">
        <f>4.233862*(29979200000/1000000000)</f>
        <v>126.9277956704</v>
      </c>
      <c r="B47">
        <v>4.4600000000000004E-3</v>
      </c>
      <c r="C47">
        <f>MAX(0,(-B47+1/EXP((Data!$N$58*2.54)*(Data!$V$60+Data!$V$61*($A47/1000)+Data!$V$62*($A47/1000)^2+Data!$V$63*($A47/1000)^3+Data!$V$64*($A47/1000)^4+Data!$V$65*($A47/1000)^5+Data!$V$66*($A47/1000)^6+Data!$V$67*($A47/1000)^7))))</f>
        <v>0.89253047969556076</v>
      </c>
    </row>
    <row r="48" spans="1:3" x14ac:dyDescent="0.3">
      <c r="A48">
        <f>4.284265*(29979200000/1000000000)</f>
        <v>128.43883728799997</v>
      </c>
      <c r="B48">
        <v>3.4299999999999999E-3</v>
      </c>
      <c r="C48">
        <f>MAX(0,(-B48+1/EXP((Data!$N$58*2.54)*(Data!$V$60+Data!$V$61*($A48/1000)+Data!$V$62*($A48/1000)^2+Data!$V$63*($A48/1000)^3+Data!$V$64*($A48/1000)^4+Data!$V$65*($A48/1000)^5+Data!$V$66*($A48/1000)^6+Data!$V$67*($A48/1000)^7))))</f>
        <v>0.89126589819982815</v>
      </c>
    </row>
    <row r="49" spans="1:3" x14ac:dyDescent="0.3">
      <c r="A49">
        <f>4.334668*(29979200000/1000000000)</f>
        <v>129.9498789056</v>
      </c>
      <c r="B49">
        <v>4.0000000000000003E-5</v>
      </c>
      <c r="C49">
        <f>MAX(0,(-B49+1/EXP((Data!$N$58*2.54)*(Data!$V$60+Data!$V$61*($A49/1000)+Data!$V$62*($A49/1000)^2+Data!$V$63*($A49/1000)^3+Data!$V$64*($A49/1000)^4+Data!$V$65*($A49/1000)^5+Data!$V$66*($A49/1000)^6+Data!$V$67*($A49/1000)^7))))</f>
        <v>0.89237222414552142</v>
      </c>
    </row>
    <row r="50" spans="1:3" x14ac:dyDescent="0.3">
      <c r="A50">
        <f>4.385071*(29979200000/1000000000)</f>
        <v>131.4609205232</v>
      </c>
      <c r="B50">
        <v>1.31E-3</v>
      </c>
      <c r="C50">
        <f>MAX(0,(-B50+1/EXP((Data!$N$58*2.54)*(Data!$V$60+Data!$V$61*($A50/1000)+Data!$V$62*($A50/1000)^2+Data!$V$63*($A50/1000)^3+Data!$V$64*($A50/1000)^4+Data!$V$65*($A50/1000)^5+Data!$V$66*($A50/1000)^6+Data!$V$67*($A50/1000)^7))))</f>
        <v>0.88882940356914464</v>
      </c>
    </row>
    <row r="51" spans="1:3" x14ac:dyDescent="0.3">
      <c r="A51">
        <f>4.435474*(29979200000/1000000000)</f>
        <v>132.9719621408</v>
      </c>
      <c r="B51">
        <v>1.5299999999999999E-3</v>
      </c>
      <c r="C51">
        <f>MAX(0,(-B51+1/EXP((Data!$N$58*2.54)*(Data!$V$60+Data!$V$61*($A51/1000)+Data!$V$62*($A51/1000)^2+Data!$V$63*($A51/1000)^3+Data!$V$64*($A51/1000)^4+Data!$V$65*($A51/1000)^5+Data!$V$66*($A51/1000)^6+Data!$V$67*($A51/1000)^7))))</f>
        <v>0.88634738281058156</v>
      </c>
    </row>
    <row r="52" spans="1:3" x14ac:dyDescent="0.3">
      <c r="A52">
        <f>4.485877*(29979200000/1000000000)</f>
        <v>134.4830037584</v>
      </c>
      <c r="B52">
        <v>1.1299999999999999E-3</v>
      </c>
      <c r="C52">
        <f>MAX(0,(-B52+1/EXP((Data!$N$58*2.54)*(Data!$V$60+Data!$V$61*($A52/1000)+Data!$V$62*($A52/1000)^2+Data!$V$63*($A52/1000)^3+Data!$V$64*($A52/1000)^4+Data!$V$65*($A52/1000)^5+Data!$V$66*($A52/1000)^6+Data!$V$67*($A52/1000)^7))))</f>
        <v>0.88449610851113325</v>
      </c>
    </row>
    <row r="53" spans="1:3" x14ac:dyDescent="0.3">
      <c r="A53">
        <f>4.53628*(29979200000/1000000000)</f>
        <v>135.99404537599997</v>
      </c>
      <c r="B53">
        <v>2.1800000000000001E-3</v>
      </c>
      <c r="C53">
        <f>MAX(0,(-B53+1/EXP((Data!$N$58*2.54)*(Data!$V$60+Data!$V$61*($A53/1000)+Data!$V$62*($A53/1000)^2+Data!$V$63*($A53/1000)^3+Data!$V$64*($A53/1000)^4+Data!$V$65*($A53/1000)^5+Data!$V$66*($A53/1000)^6+Data!$V$67*($A53/1000)^7))))</f>
        <v>0.88120552761156523</v>
      </c>
    </row>
    <row r="54" spans="1:3" x14ac:dyDescent="0.3">
      <c r="A54">
        <f>4.586683*(29979200000/1000000000)</f>
        <v>137.5050869936</v>
      </c>
      <c r="B54">
        <v>5.2999999999999998E-4</v>
      </c>
      <c r="C54">
        <f>MAX(0,(-B54+1/EXP((Data!$N$58*2.54)*(Data!$V$60+Data!$V$61*($A54/1000)+Data!$V$62*($A54/1000)^2+Data!$V$63*($A54/1000)^3+Data!$V$64*($A54/1000)^4+Data!$V$65*($A54/1000)^5+Data!$V$66*($A54/1000)^6+Data!$V$67*($A54/1000)^7))))</f>
        <v>0.88062558735017304</v>
      </c>
    </row>
    <row r="55" spans="1:3" x14ac:dyDescent="0.3">
      <c r="A55">
        <f>4.637086*(29979200000/1000000000)</f>
        <v>139.0161286112</v>
      </c>
      <c r="B55">
        <v>2.3000000000000001E-4</v>
      </c>
      <c r="C55">
        <f>MAX(0,(-B55+1/EXP((Data!$N$58*2.54)*(Data!$V$60+Data!$V$61*($A55/1000)+Data!$V$62*($A55/1000)^2+Data!$V$63*($A55/1000)^3+Data!$V$64*($A55/1000)^4+Data!$V$65*($A55/1000)^5+Data!$V$66*($A55/1000)^6+Data!$V$67*($A55/1000)^7))))</f>
        <v>0.87870623526086145</v>
      </c>
    </row>
    <row r="56" spans="1:3" x14ac:dyDescent="0.3">
      <c r="A56">
        <f>4.687489*(29979200000/1000000000)</f>
        <v>140.5271702288</v>
      </c>
      <c r="B56">
        <v>2.7E-4</v>
      </c>
      <c r="C56">
        <f>MAX(0,(-B56+1/EXP((Data!$N$58*2.54)*(Data!$V$60+Data!$V$61*($A56/1000)+Data!$V$62*($A56/1000)^2+Data!$V$63*($A56/1000)^3+Data!$V$64*($A56/1000)^4+Data!$V$65*($A56/1000)^5+Data!$V$66*($A56/1000)^6+Data!$V$67*($A56/1000)^7))))</f>
        <v>0.8764574191712351</v>
      </c>
    </row>
    <row r="57" spans="1:3" x14ac:dyDescent="0.3">
      <c r="A57">
        <f>4.737892*(29979200000/1000000000)</f>
        <v>142.0382118464</v>
      </c>
      <c r="B57">
        <v>1.5100000000000001E-3</v>
      </c>
      <c r="C57">
        <f>MAX(0,(-B57+1/EXP((Data!$N$58*2.54)*(Data!$V$60+Data!$V$61*($A57/1000)+Data!$V$62*($A57/1000)^2+Data!$V$63*($A57/1000)^3+Data!$V$64*($A57/1000)^4+Data!$V$65*($A57/1000)^5+Data!$V$66*($A57/1000)^6+Data!$V$67*($A57/1000)^7))))</f>
        <v>0.8730190872007072</v>
      </c>
    </row>
    <row r="58" spans="1:3" x14ac:dyDescent="0.3">
      <c r="A58">
        <f>4.788295*(29979200000/1000000000)</f>
        <v>143.54925346399997</v>
      </c>
      <c r="B58">
        <v>3.14E-3</v>
      </c>
      <c r="C58">
        <f>MAX(0,(-B58+1/EXP((Data!$N$58*2.54)*(Data!$V$60+Data!$V$61*($A58/1000)+Data!$V$62*($A58/1000)^2+Data!$V$63*($A58/1000)^3+Data!$V$64*($A58/1000)^4+Data!$V$65*($A58/1000)^5+Data!$V$66*($A58/1000)^6+Data!$V$67*($A58/1000)^7))))</f>
        <v>0.86920118775861921</v>
      </c>
    </row>
    <row r="59" spans="1:3" x14ac:dyDescent="0.3">
      <c r="A59">
        <f>4.838698*(29979200000/1000000000)</f>
        <v>145.06029508160003</v>
      </c>
      <c r="B59">
        <v>2.9499999999999999E-3</v>
      </c>
      <c r="C59">
        <f>MAX(0,(-B59+1/EXP((Data!$N$58*2.54)*(Data!$V$60+Data!$V$61*($A59/1000)+Data!$V$62*($A59/1000)^2+Data!$V$63*($A59/1000)^3+Data!$V$64*($A59/1000)^4+Data!$V$65*($A59/1000)^5+Data!$V$66*($A59/1000)^6+Data!$V$67*($A59/1000)^7))))</f>
        <v>0.86721366954237655</v>
      </c>
    </row>
    <row r="60" spans="1:3" x14ac:dyDescent="0.3">
      <c r="A60">
        <f>4.889101*(29979200000/1000000000)</f>
        <v>146.5713366992</v>
      </c>
      <c r="B60">
        <v>1.97E-3</v>
      </c>
      <c r="C60">
        <f>MAX(0,(-B60+1/EXP((Data!$N$58*2.54)*(Data!$V$60+Data!$V$61*($A60/1000)+Data!$V$62*($A60/1000)^2+Data!$V$63*($A60/1000)^3+Data!$V$64*($A60/1000)^4+Data!$V$65*($A60/1000)^5+Data!$V$66*($A60/1000)^6+Data!$V$67*($A60/1000)^7))))</f>
        <v>0.86602648153559536</v>
      </c>
    </row>
    <row r="61" spans="1:3" x14ac:dyDescent="0.3">
      <c r="A61">
        <f>4.939504*(29979200000/1000000000)</f>
        <v>148.0823783168</v>
      </c>
      <c r="B61">
        <v>7.6000000000000004E-4</v>
      </c>
      <c r="C61">
        <f>MAX(0,(-B61+1/EXP((Data!$N$58*2.54)*(Data!$V$60+Data!$V$61*($A61/1000)+Data!$V$62*($A61/1000)^2+Data!$V$63*($A61/1000)^3+Data!$V$64*($A61/1000)^4+Data!$V$65*($A61/1000)^5+Data!$V$66*($A61/1000)^6+Data!$V$67*($A61/1000)^7))))</f>
        <v>0.86507957300626559</v>
      </c>
    </row>
    <row r="62" spans="1:3" x14ac:dyDescent="0.3">
      <c r="A62">
        <f>4.989907*(29979200000/1000000000)</f>
        <v>149.5934199344</v>
      </c>
      <c r="B62">
        <v>0</v>
      </c>
      <c r="C62">
        <f>MAX(0,(-B62+1/EXP((Data!$N$58*2.54)*(Data!$V$60+Data!$V$61*($A62/1000)+Data!$V$62*($A62/1000)^2+Data!$V$63*($A62/1000)^3+Data!$V$64*($A62/1000)^4+Data!$V$65*($A62/1000)^5+Data!$V$66*($A62/1000)^6+Data!$V$67*($A62/1000)^7))))</f>
        <v>0.86369289350492573</v>
      </c>
    </row>
    <row r="63" spans="1:3" x14ac:dyDescent="0.3">
      <c r="A63">
        <f>5.04031*(29979200000/1000000000)</f>
        <v>151.10446155199998</v>
      </c>
      <c r="B63">
        <v>6.9999999999999999E-4</v>
      </c>
      <c r="C63">
        <f>MAX(0,(-B63+1/EXP((Data!$N$58*2.54)*(Data!$V$60+Data!$V$61*($A63/1000)+Data!$V$62*($A63/1000)^2+Data!$V$63*($A63/1000)^3+Data!$V$64*($A63/1000)^4+Data!$V$65*($A63/1000)^5+Data!$V$66*($A63/1000)^6+Data!$V$67*($A63/1000)^7))))</f>
        <v>0.86085639286285209</v>
      </c>
    </row>
    <row r="64" spans="1:3" x14ac:dyDescent="0.3">
      <c r="A64">
        <f>5.090713*(29979200000/1000000000)</f>
        <v>152.6155031696</v>
      </c>
      <c r="B64">
        <v>1.39E-3</v>
      </c>
      <c r="C64">
        <f>MAX(0,(-B64+1/EXP((Data!$N$58*2.54)*(Data!$V$60+Data!$V$61*($A64/1000)+Data!$V$62*($A64/1000)^2+Data!$V$63*($A64/1000)^3+Data!$V$64*($A64/1000)^4+Data!$V$65*($A64/1000)^5+Data!$V$66*($A64/1000)^6+Data!$V$67*($A64/1000)^7))))</f>
        <v>0.85804002119025957</v>
      </c>
    </row>
    <row r="65" spans="1:3" x14ac:dyDescent="0.3">
      <c r="A65">
        <f>5.141116*(29979200000/1000000000)</f>
        <v>154.1265447872</v>
      </c>
      <c r="B65">
        <v>1.56E-3</v>
      </c>
      <c r="C65">
        <f>MAX(0,(-B65+1/EXP((Data!$N$58*2.54)*(Data!$V$60+Data!$V$61*($A65/1000)+Data!$V$62*($A65/1000)^2+Data!$V$63*($A65/1000)^3+Data!$V$64*($A65/1000)^4+Data!$V$65*($A65/1000)^5+Data!$V$66*($A65/1000)^6+Data!$V$67*($A65/1000)^7))))</f>
        <v>0.85575372887451806</v>
      </c>
    </row>
    <row r="66" spans="1:3" x14ac:dyDescent="0.3">
      <c r="A66">
        <f>5.191519*(29979200000/1000000000)</f>
        <v>155.63758640479998</v>
      </c>
      <c r="B66">
        <v>2.16E-3</v>
      </c>
      <c r="C66">
        <f>MAX(0,(-B66+1/EXP((Data!$N$58*2.54)*(Data!$V$60+Data!$V$61*($A66/1000)+Data!$V$62*($A66/1000)^2+Data!$V$63*($A66/1000)^3+Data!$V$64*($A66/1000)^4+Data!$V$65*($A66/1000)^5+Data!$V$66*($A66/1000)^6+Data!$V$67*($A66/1000)^7))))</f>
        <v>0.85304746657837927</v>
      </c>
    </row>
    <row r="67" spans="1:3" x14ac:dyDescent="0.3">
      <c r="A67">
        <f>5.241922*(29979200000/1000000000)</f>
        <v>157.1486280224</v>
      </c>
      <c r="B67">
        <v>1.5E-3</v>
      </c>
      <c r="C67">
        <f>MAX(0,(-B67+1/EXP((Data!$N$58*2.54)*(Data!$V$60+Data!$V$61*($A67/1000)+Data!$V$62*($A67/1000)^2+Data!$V$63*($A67/1000)^3+Data!$V$64*($A67/1000)^4+Data!$V$65*($A67/1000)^5+Data!$V$66*($A67/1000)^6+Data!$V$67*($A67/1000)^7))))</f>
        <v>0.8516111852382181</v>
      </c>
    </row>
    <row r="68" spans="1:3" x14ac:dyDescent="0.3">
      <c r="A68">
        <f>5.292325*(29979200000/1000000000)</f>
        <v>158.65966964</v>
      </c>
      <c r="B68">
        <v>9.0000000000000006E-5</v>
      </c>
      <c r="C68">
        <f>MAX(0,(-B68+1/EXP((Data!$N$58*2.54)*(Data!$V$60+Data!$V$61*($A68/1000)+Data!$V$62*($A68/1000)^2+Data!$V$63*($A68/1000)^3+Data!$V$64*($A68/1000)^4+Data!$V$65*($A68/1000)^5+Data!$V$66*($A68/1000)^6+Data!$V$67*($A68/1000)^7))))</f>
        <v>0.85093483606228604</v>
      </c>
    </row>
    <row r="69" spans="1:3" x14ac:dyDescent="0.3">
      <c r="A69">
        <f>5.342728*(29979200000/1000000000)</f>
        <v>160.1707112576</v>
      </c>
      <c r="B69">
        <v>0</v>
      </c>
      <c r="C69">
        <f>MAX(0,(-B69+1/EXP((Data!$N$58*2.54)*(Data!$V$60+Data!$V$61*($A69/1000)+Data!$V$62*($A69/1000)^2+Data!$V$63*($A69/1000)^3+Data!$V$64*($A69/1000)^4+Data!$V$65*($A69/1000)^5+Data!$V$66*($A69/1000)^6+Data!$V$67*($A69/1000)^7))))</f>
        <v>0.84894837052897798</v>
      </c>
    </row>
    <row r="70" spans="1:3" x14ac:dyDescent="0.3">
      <c r="A70">
        <f>5.393131*(29979200000/1000000000)</f>
        <v>161.6817528752</v>
      </c>
      <c r="B70">
        <v>0</v>
      </c>
      <c r="C70">
        <f>MAX(0,(-B70+1/EXP((Data!$N$58*2.54)*(Data!$V$60+Data!$V$61*($A70/1000)+Data!$V$62*($A70/1000)^2+Data!$V$63*($A70/1000)^3+Data!$V$64*($A70/1000)^4+Data!$V$65*($A70/1000)^5+Data!$V$66*($A70/1000)^6+Data!$V$67*($A70/1000)^7))))</f>
        <v>0.84688174038510988</v>
      </c>
    </row>
    <row r="71" spans="1:3" x14ac:dyDescent="0.3">
      <c r="A71">
        <f>5.443534*(29979200000/1000000000)</f>
        <v>163.19279449279998</v>
      </c>
      <c r="B71">
        <v>4.2999999999999999E-4</v>
      </c>
      <c r="C71">
        <f>MAX(0,(-B71+1/EXP((Data!$N$58*2.54)*(Data!$V$60+Data!$V$61*($A71/1000)+Data!$V$62*($A71/1000)^2+Data!$V$63*($A71/1000)^3+Data!$V$64*($A71/1000)^4+Data!$V$65*($A71/1000)^5+Data!$V$66*($A71/1000)^6+Data!$V$67*($A71/1000)^7))))</f>
        <v>0.84439489764421094</v>
      </c>
    </row>
    <row r="72" spans="1:3" x14ac:dyDescent="0.3">
      <c r="A72">
        <f>5.493937*(29979200000/1000000000)</f>
        <v>164.7038361104</v>
      </c>
      <c r="B72">
        <v>0</v>
      </c>
      <c r="C72">
        <f>MAX(0,(-B72+1/EXP((Data!$N$58*2.54)*(Data!$V$60+Data!$V$61*($A72/1000)+Data!$V$62*($A72/1000)^2+Data!$V$63*($A72/1000)^3+Data!$V$64*($A72/1000)^4+Data!$V$65*($A72/1000)^5+Data!$V$66*($A72/1000)^6+Data!$V$67*($A72/1000)^7))))</f>
        <v>0.84277779458482682</v>
      </c>
    </row>
    <row r="73" spans="1:3" x14ac:dyDescent="0.3">
      <c r="A73">
        <f>5.54434*(29979200000/1000000000)</f>
        <v>166.214877728</v>
      </c>
      <c r="B73">
        <v>2.7E-4</v>
      </c>
      <c r="C73">
        <f>MAX(0,(-B73+1/EXP((Data!$N$58*2.54)*(Data!$V$60+Data!$V$61*($A73/1000)+Data!$V$62*($A73/1000)^2+Data!$V$63*($A73/1000)^3+Data!$V$64*($A73/1000)^4+Data!$V$65*($A73/1000)^5+Data!$V$66*($A73/1000)^6+Data!$V$67*($A73/1000)^7))))</f>
        <v>0.8404703837488352</v>
      </c>
    </row>
    <row r="74" spans="1:3" x14ac:dyDescent="0.3">
      <c r="A74">
        <f>5.594743*(29979200000/1000000000)</f>
        <v>167.7259193456</v>
      </c>
      <c r="B74">
        <v>1.2899999999999999E-3</v>
      </c>
      <c r="C74">
        <f>MAX(0,(-B74+1/EXP((Data!$N$58*2.54)*(Data!$V$60+Data!$V$61*($A74/1000)+Data!$V$62*($A74/1000)^2+Data!$V$63*($A74/1000)^3+Data!$V$64*($A74/1000)^4+Data!$V$65*($A74/1000)^5+Data!$V$66*($A74/1000)^6+Data!$V$67*($A74/1000)^7))))</f>
        <v>0.83742261793977346</v>
      </c>
    </row>
    <row r="75" spans="1:3" x14ac:dyDescent="0.3">
      <c r="A75">
        <f>5.645146*(29979200000/1000000000)</f>
        <v>169.2369609632</v>
      </c>
      <c r="B75">
        <v>9.0000000000000006E-5</v>
      </c>
      <c r="C75">
        <f>MAX(0,(-B75+1/EXP((Data!$N$58*2.54)*(Data!$V$60+Data!$V$61*($A75/1000)+Data!$V$62*($A75/1000)^2+Data!$V$63*($A75/1000)^3+Data!$V$64*($A75/1000)^4+Data!$V$65*($A75/1000)^5+Data!$V$66*($A75/1000)^6+Data!$V$67*($A75/1000)^7))))</f>
        <v>0.83660445022117957</v>
      </c>
    </row>
    <row r="76" spans="1:3" x14ac:dyDescent="0.3">
      <c r="A76">
        <f>5.695549*(29979200000/1000000000)</f>
        <v>170.74800258079998</v>
      </c>
      <c r="B76">
        <v>0</v>
      </c>
      <c r="C76">
        <f>MAX(0,(-B76+1/EXP((Data!$N$58*2.54)*(Data!$V$60+Data!$V$61*($A76/1000)+Data!$V$62*($A76/1000)^2+Data!$V$63*($A76/1000)^3+Data!$V$64*($A76/1000)^4+Data!$V$65*($A76/1000)^5+Data!$V$66*($A76/1000)^6+Data!$V$67*($A76/1000)^7))))</f>
        <v>0.834685833914942</v>
      </c>
    </row>
    <row r="77" spans="1:3" x14ac:dyDescent="0.3">
      <c r="A77">
        <f>5.745952*(29979200000/1000000000)</f>
        <v>172.25904419840001</v>
      </c>
      <c r="B77">
        <v>0</v>
      </c>
      <c r="C77">
        <f>MAX(0,(-B77+1/EXP((Data!$N$58*2.54)*(Data!$V$60+Data!$V$61*($A77/1000)+Data!$V$62*($A77/1000)^2+Data!$V$63*($A77/1000)^3+Data!$V$64*($A77/1000)^4+Data!$V$65*($A77/1000)^5+Data!$V$66*($A77/1000)^6+Data!$V$67*($A77/1000)^7))))</f>
        <v>0.83268672259966425</v>
      </c>
    </row>
    <row r="78" spans="1:3" x14ac:dyDescent="0.3">
      <c r="A78">
        <f>5.796355*(29979200000/1000000000)</f>
        <v>173.77008581600001</v>
      </c>
      <c r="B78">
        <v>0</v>
      </c>
      <c r="C78">
        <f>MAX(0,(-B78+1/EXP((Data!$N$58*2.54)*(Data!$V$60+Data!$V$61*($A78/1000)+Data!$V$62*($A78/1000)^2+Data!$V$63*($A78/1000)^3+Data!$V$64*($A78/1000)^4+Data!$V$65*($A78/1000)^5+Data!$V$66*($A78/1000)^6+Data!$V$67*($A78/1000)^7))))</f>
        <v>0.83069707010904037</v>
      </c>
    </row>
    <row r="79" spans="1:3" x14ac:dyDescent="0.3">
      <c r="A79">
        <f>5.846758*(29979200000/1000000000)</f>
        <v>175.28112743360001</v>
      </c>
      <c r="B79">
        <v>0</v>
      </c>
      <c r="C79">
        <f>MAX(0,(-B79+1/EXP((Data!$N$58*2.54)*(Data!$V$60+Data!$V$61*($A79/1000)+Data!$V$62*($A79/1000)^2+Data!$V$63*($A79/1000)^3+Data!$V$64*($A79/1000)^4+Data!$V$65*($A79/1000)^5+Data!$V$66*($A79/1000)^6+Data!$V$67*($A79/1000)^7))))</f>
        <v>0.82871683053024081</v>
      </c>
    </row>
    <row r="80" spans="1:3" x14ac:dyDescent="0.3">
      <c r="A80">
        <f>5.897161*(29979200000/1000000000)</f>
        <v>176.79216905120001</v>
      </c>
      <c r="B80">
        <v>3.5E-4</v>
      </c>
      <c r="C80">
        <f>MAX(0,(-B80+1/EXP((Data!$N$58*2.54)*(Data!$V$60+Data!$V$61*($A80/1000)+Data!$V$62*($A80/1000)^2+Data!$V$63*($A80/1000)^3+Data!$V$64*($A80/1000)^4+Data!$V$65*($A80/1000)^5+Data!$V$66*($A80/1000)^6+Data!$V$67*($A80/1000)^7))))</f>
        <v>0.82639595820231093</v>
      </c>
    </row>
    <row r="81" spans="1:3" x14ac:dyDescent="0.3">
      <c r="A81">
        <f>5.947564*(29979200000/1000000000)</f>
        <v>178.30321066879998</v>
      </c>
      <c r="B81">
        <v>1.14E-3</v>
      </c>
      <c r="C81">
        <f>MAX(0,(-B81+1/EXP((Data!$N$58*2.54)*(Data!$V$60+Data!$V$61*($A81/1000)+Data!$V$62*($A81/1000)^2+Data!$V$63*($A81/1000)^3+Data!$V$64*($A81/1000)^4+Data!$V$65*($A81/1000)^5+Data!$V$66*($A81/1000)^6+Data!$V$67*($A81/1000)^7))))</f>
        <v>0.82364440771458081</v>
      </c>
    </row>
    <row r="82" spans="1:3" x14ac:dyDescent="0.3">
      <c r="A82">
        <f>5.997967*(29979200000/1000000000)</f>
        <v>179.81425228640001</v>
      </c>
      <c r="B82">
        <v>1E-3</v>
      </c>
      <c r="C82">
        <f>MAX(0,(-B82+1/EXP((Data!$N$58*2.54)*(Data!$V$60+Data!$V$61*($A82/1000)+Data!$V$62*($A82/1000)^2+Data!$V$63*($A82/1000)^3+Data!$V$64*($A82/1000)^4+Data!$V$65*($A82/1000)^5+Data!$V$66*($A82/1000)^6+Data!$V$67*($A82/1000)^7))))</f>
        <v>0.82183213390508603</v>
      </c>
    </row>
    <row r="83" spans="1:3" x14ac:dyDescent="0.3">
      <c r="A83">
        <f>6.04837*(29979200000/1000000000)</f>
        <v>181.32529390400001</v>
      </c>
      <c r="B83">
        <v>0</v>
      </c>
      <c r="C83">
        <f>MAX(0,(-B83+1/EXP((Data!$N$58*2.54)*(Data!$V$60+Data!$V$61*($A83/1000)+Data!$V$62*($A83/1000)^2+Data!$V$63*($A83/1000)^3+Data!$V$64*($A83/1000)^4+Data!$V$65*($A83/1000)^5+Data!$V$66*($A83/1000)^6+Data!$V$67*($A83/1000)^7))))</f>
        <v>0.82088909185899939</v>
      </c>
    </row>
    <row r="84" spans="1:3" x14ac:dyDescent="0.3">
      <c r="A84">
        <f>6.098773*(29979200000/1000000000)</f>
        <v>182.83633552159998</v>
      </c>
      <c r="B84">
        <v>0</v>
      </c>
      <c r="C84">
        <f>MAX(0,(-B84+1/EXP((Data!$N$58*2.54)*(Data!$V$60+Data!$V$61*($A84/1000)+Data!$V$62*($A84/1000)^2+Data!$V$63*($A84/1000)^3+Data!$V$64*($A84/1000)^4+Data!$V$65*($A84/1000)^5+Data!$V$66*($A84/1000)^6+Data!$V$67*($A84/1000)^7))))</f>
        <v>0.8189552369070745</v>
      </c>
    </row>
    <row r="85" spans="1:3" x14ac:dyDescent="0.3">
      <c r="A85">
        <f>6.149176*(29979200000/1000000000)</f>
        <v>184.34737713920001</v>
      </c>
      <c r="B85">
        <v>4.0000000000000003E-5</v>
      </c>
      <c r="C85">
        <f>MAX(0,(-B85+1/EXP((Data!$N$58*2.54)*(Data!$V$60+Data!$V$61*($A85/1000)+Data!$V$62*($A85/1000)^2+Data!$V$63*($A85/1000)^3+Data!$V$64*($A85/1000)^4+Data!$V$65*($A85/1000)^5+Data!$V$66*($A85/1000)^6+Data!$V$67*($A85/1000)^7))))</f>
        <v>0.81699052462409938</v>
      </c>
    </row>
    <row r="86" spans="1:3" x14ac:dyDescent="0.3">
      <c r="A86">
        <f>6.199579*(29979200000/1000000000)</f>
        <v>185.85841875679998</v>
      </c>
      <c r="B86">
        <v>0</v>
      </c>
      <c r="C86">
        <f>MAX(0,(-B86+1/EXP((Data!$N$58*2.54)*(Data!$V$60+Data!$V$61*($A86/1000)+Data!$V$62*($A86/1000)^2+Data!$V$63*($A86/1000)^3+Data!$V$64*($A86/1000)^4+Data!$V$65*($A86/1000)^5+Data!$V$66*($A86/1000)^6+Data!$V$67*($A86/1000)^7))))</f>
        <v>0.81511491082736198</v>
      </c>
    </row>
    <row r="87" spans="1:3" x14ac:dyDescent="0.3">
      <c r="A87">
        <f>6.249982*(29979200000/1000000000)</f>
        <v>187.36946037440003</v>
      </c>
      <c r="B87">
        <v>0</v>
      </c>
      <c r="C87">
        <f>MAX(0,(-B87+1/EXP((Data!$N$58*2.54)*(Data!$V$60+Data!$V$61*($A87/1000)+Data!$V$62*($A87/1000)^2+Data!$V$63*($A87/1000)^3+Data!$V$64*($A87/1000)^4+Data!$V$65*($A87/1000)^5+Data!$V$66*($A87/1000)^6+Data!$V$67*($A87/1000)^7))))</f>
        <v>0.81320835157512583</v>
      </c>
    </row>
    <row r="88" spans="1:3" x14ac:dyDescent="0.3">
      <c r="A88">
        <f>6.300385*(29979200000/1000000000)</f>
        <v>188.88050199200001</v>
      </c>
      <c r="B88">
        <v>0</v>
      </c>
      <c r="C88">
        <f>MAX(0,(-B88+1/EXP((Data!$N$58*2.54)*(Data!$V$60+Data!$V$61*($A88/1000)+Data!$V$62*($A88/1000)^2+Data!$V$63*($A88/1000)^3+Data!$V$64*($A88/1000)^4+Data!$V$65*($A88/1000)^5+Data!$V$66*($A88/1000)^6+Data!$V$67*($A88/1000)^7))))</f>
        <v>0.81131080316511628</v>
      </c>
    </row>
    <row r="89" spans="1:3" x14ac:dyDescent="0.3">
      <c r="A89">
        <f>6.350788*(29979200000/1000000000)</f>
        <v>190.39154360959998</v>
      </c>
      <c r="B89">
        <v>0</v>
      </c>
      <c r="C89">
        <f>MAX(0,(-B89+1/EXP((Data!$N$58*2.54)*(Data!$V$60+Data!$V$61*($A89/1000)+Data!$V$62*($A89/1000)^2+Data!$V$63*($A89/1000)^3+Data!$V$64*($A89/1000)^4+Data!$V$65*($A89/1000)^5+Data!$V$66*($A89/1000)^6+Data!$V$67*($A89/1000)^7))))</f>
        <v>0.80942222213301829</v>
      </c>
    </row>
    <row r="90" spans="1:3" x14ac:dyDescent="0.3">
      <c r="A90">
        <f>6.401191*(29979200000/1000000000)</f>
        <v>191.90258522720001</v>
      </c>
      <c r="B90">
        <v>0</v>
      </c>
      <c r="C90">
        <f>MAX(0,(-B90+1/EXP((Data!$N$58*2.54)*(Data!$V$60+Data!$V$61*($A90/1000)+Data!$V$62*($A90/1000)^2+Data!$V$63*($A90/1000)^3+Data!$V$64*($A90/1000)^4+Data!$V$65*($A90/1000)^5+Data!$V$66*($A90/1000)^6+Data!$V$67*($A90/1000)^7))))</f>
        <v>0.80754256525098311</v>
      </c>
    </row>
    <row r="91" spans="1:3" x14ac:dyDescent="0.3">
      <c r="A91">
        <f>6.451594*(29979200000/1000000000)</f>
        <v>193.41362684480001</v>
      </c>
      <c r="B91">
        <v>0</v>
      </c>
      <c r="C91">
        <f>MAX(0,(-B91+1/EXP((Data!$N$58*2.54)*(Data!$V$60+Data!$V$61*($A91/1000)+Data!$V$62*($A91/1000)^2+Data!$V$63*($A91/1000)^3+Data!$V$64*($A91/1000)^4+Data!$V$65*($A91/1000)^5+Data!$V$66*($A91/1000)^6+Data!$V$67*($A91/1000)^7))))</f>
        <v>0.8056717895261476</v>
      </c>
    </row>
    <row r="92" spans="1:3" x14ac:dyDescent="0.3">
      <c r="A92">
        <f>6.501997*(29979200000/1000000000)</f>
        <v>194.92466846240004</v>
      </c>
      <c r="B92">
        <v>0</v>
      </c>
      <c r="C92">
        <f>MAX(0,(-B92+1/EXP((Data!$N$58*2.54)*(Data!$V$60+Data!$V$61*($A92/1000)+Data!$V$62*($A92/1000)^2+Data!$V$63*($A92/1000)^3+Data!$V$64*($A92/1000)^4+Data!$V$65*($A92/1000)^5+Data!$V$66*($A92/1000)^6+Data!$V$67*($A92/1000)^7))))</f>
        <v>0.80380985219916135</v>
      </c>
    </row>
    <row r="93" spans="1:3" x14ac:dyDescent="0.3">
      <c r="A93">
        <f>6.5524*(29979200000/1000000000)</f>
        <v>196.43571008000001</v>
      </c>
      <c r="B93">
        <v>0</v>
      </c>
      <c r="C93">
        <f>MAX(0,(-B93+1/EXP((Data!$N$58*2.54)*(Data!$V$60+Data!$V$61*($A93/1000)+Data!$V$62*($A93/1000)^2+Data!$V$63*($A93/1000)^3+Data!$V$64*($A93/1000)^4+Data!$V$65*($A93/1000)^5+Data!$V$66*($A93/1000)^6+Data!$V$67*($A93/1000)^7))))</f>
        <v>0.80195671074272668</v>
      </c>
    </row>
    <row r="94" spans="1:3" x14ac:dyDescent="0.3">
      <c r="A94">
        <f>6.602803*(29979200000/1000000000)</f>
        <v>197.94675169759998</v>
      </c>
      <c r="B94">
        <v>0</v>
      </c>
      <c r="C94">
        <f>MAX(0,(-B94+1/EXP((Data!$N$58*2.54)*(Data!$V$60+Data!$V$61*($A94/1000)+Data!$V$62*($A94/1000)^2+Data!$V$63*($A94/1000)^3+Data!$V$64*($A94/1000)^4+Data!$V$65*($A94/1000)^5+Data!$V$66*($A94/1000)^6+Data!$V$67*($A94/1000)^7))))</f>
        <v>0.80011232286014655</v>
      </c>
    </row>
    <row r="95" spans="1:3" x14ac:dyDescent="0.3">
      <c r="A95">
        <f>6.653206*(29979200000/1000000000)</f>
        <v>199.45779331520001</v>
      </c>
      <c r="B95">
        <v>7.6000000000000004E-4</v>
      </c>
      <c r="C95">
        <f>MAX(0,(-B95+1/EXP((Data!$N$58*2.54)*(Data!$V$60+Data!$V$61*($A95/1000)+Data!$V$62*($A95/1000)^2+Data!$V$63*($A95/1000)^3+Data!$V$64*($A95/1000)^4+Data!$V$65*($A95/1000)^5+Data!$V$66*($A95/1000)^6+Data!$V$67*($A95/1000)^7))))</f>
        <v>0.79751664648388421</v>
      </c>
    </row>
    <row r="96" spans="1:3" x14ac:dyDescent="0.3">
      <c r="A96">
        <f>6.703609*(29979200000/1000000000)</f>
        <v>200.96883493280001</v>
      </c>
      <c r="B96">
        <v>0</v>
      </c>
      <c r="C96">
        <f>MAX(0,(-B96+1/EXP((Data!$N$58*2.54)*(Data!$V$60+Data!$V$61*($A96/1000)+Data!$V$62*($A96/1000)^2+Data!$V$63*($A96/1000)^3+Data!$V$64*($A96/1000)^4+Data!$V$65*($A96/1000)^5+Data!$V$66*($A96/1000)^6+Data!$V$67*($A96/1000)^7))))</f>
        <v>0.79644963977413141</v>
      </c>
    </row>
    <row r="97" spans="1:3" x14ac:dyDescent="0.3">
      <c r="A97">
        <f>6.754012*(29979200000/1000000000)</f>
        <v>202.47987655039998</v>
      </c>
      <c r="B97">
        <v>0</v>
      </c>
      <c r="C97">
        <f>MAX(0,(-B97+1/EXP((Data!$N$58*2.54)*(Data!$V$60+Data!$V$61*($A97/1000)+Data!$V$62*($A97/1000)^2+Data!$V$63*($A97/1000)^3+Data!$V$64*($A97/1000)^4+Data!$V$65*($A97/1000)^5+Data!$V$66*($A97/1000)^6+Data!$V$67*($A97/1000)^7))))</f>
        <v>0.79463126111738824</v>
      </c>
    </row>
    <row r="98" spans="1:3" x14ac:dyDescent="0.3">
      <c r="A98">
        <f>6.804415*(29979200000/1000000000)</f>
        <v>203.99091816800001</v>
      </c>
      <c r="B98">
        <v>3.6999999999999999E-4</v>
      </c>
      <c r="C98">
        <f>MAX(0,(-B98+1/EXP((Data!$N$58*2.54)*(Data!$V$60+Data!$V$61*($A98/1000)+Data!$V$62*($A98/1000)^2+Data!$V$63*($A98/1000)^3+Data!$V$64*($A98/1000)^4+Data!$V$65*($A98/1000)^5+Data!$V$66*($A98/1000)^6+Data!$V$67*($A98/1000)^7))))</f>
        <v>0.79245146912505104</v>
      </c>
    </row>
    <row r="99" spans="1:3" x14ac:dyDescent="0.3">
      <c r="A99">
        <f>6.854818*(29979200000/1000000000)</f>
        <v>205.50195978559998</v>
      </c>
      <c r="B99">
        <v>6.2E-4</v>
      </c>
      <c r="C99">
        <f>MAX(0,(-B99+1/EXP((Data!$N$58*2.54)*(Data!$V$60+Data!$V$61*($A99/1000)+Data!$V$62*($A99/1000)^2+Data!$V$63*($A99/1000)^3+Data!$V$64*($A99/1000)^4+Data!$V$65*($A99/1000)^5+Data!$V$66*($A99/1000)^6+Data!$V$67*($A99/1000)^7))))</f>
        <v>0.79040022263201137</v>
      </c>
    </row>
    <row r="100" spans="1:3" x14ac:dyDescent="0.3">
      <c r="A100">
        <f>6.905221*(29979200000/1000000000)</f>
        <v>207.01300140320001</v>
      </c>
      <c r="B100">
        <v>4.6000000000000001E-4</v>
      </c>
      <c r="C100">
        <f>MAX(0,(-B100+1/EXP((Data!$N$58*2.54)*(Data!$V$60+Data!$V$61*($A100/1000)+Data!$V$62*($A100/1000)^2+Data!$V$63*($A100/1000)^3+Data!$V$64*($A100/1000)^4+Data!$V$65*($A100/1000)^5+Data!$V$66*($A100/1000)^6+Data!$V$67*($A100/1000)^7))))</f>
        <v>0.78876748069526348</v>
      </c>
    </row>
    <row r="101" spans="1:3" x14ac:dyDescent="0.3">
      <c r="A101">
        <f>6.955624*(29979200000/1000000000)</f>
        <v>208.52404302080001</v>
      </c>
      <c r="B101">
        <v>1.66E-3</v>
      </c>
      <c r="C101">
        <f>MAX(0,(-B101+1/EXP((Data!$N$58*2.54)*(Data!$V$60+Data!$V$61*($A101/1000)+Data!$V$62*($A101/1000)^2+Data!$V$63*($A101/1000)^3+Data!$V$64*($A101/1000)^4+Data!$V$65*($A101/1000)^5+Data!$V$66*($A101/1000)^6+Data!$V$67*($A101/1000)^7))))</f>
        <v>0.78578320259252354</v>
      </c>
    </row>
    <row r="102" spans="1:3" x14ac:dyDescent="0.3">
      <c r="A102">
        <f>7.006027*(29979200000/1000000000)</f>
        <v>210.03508463839998</v>
      </c>
      <c r="B102">
        <v>3.8400000000000001E-3</v>
      </c>
      <c r="C102">
        <f>MAX(0,(-B102+1/EXP((Data!$N$58*2.54)*(Data!$V$60+Data!$V$61*($A102/1000)+Data!$V$62*($A102/1000)^2+Data!$V$63*($A102/1000)^3+Data!$V$64*($A102/1000)^4+Data!$V$65*($A102/1000)^5+Data!$V$66*($A102/1000)^6+Data!$V$67*($A102/1000)^7))))</f>
        <v>0.78182734782085472</v>
      </c>
    </row>
    <row r="103" spans="1:3" x14ac:dyDescent="0.3">
      <c r="A103">
        <f>7.05643*(29979200000/1000000000)</f>
        <v>211.54612625600001</v>
      </c>
      <c r="B103">
        <v>5.2500000000000003E-3</v>
      </c>
      <c r="C103">
        <f>MAX(0,(-B103+1/EXP((Data!$N$58*2.54)*(Data!$V$60+Data!$V$61*($A103/1000)+Data!$V$62*($A103/1000)^2+Data!$V$63*($A103/1000)^3+Data!$V$64*($A103/1000)^4+Data!$V$65*($A103/1000)^5+Data!$V$66*($A103/1000)^6+Data!$V$67*($A103/1000)^7))))</f>
        <v>0.77864987609530545</v>
      </c>
    </row>
    <row r="104" spans="1:3" x14ac:dyDescent="0.3">
      <c r="A104">
        <f>7.106833*(29979200000/1000000000)</f>
        <v>213.05716787359998</v>
      </c>
      <c r="B104">
        <v>6.6600000000000001E-3</v>
      </c>
      <c r="C104">
        <f>MAX(0,(-B104+1/EXP((Data!$N$58*2.54)*(Data!$V$60+Data!$V$61*($A104/1000)+Data!$V$62*($A104/1000)^2+Data!$V$63*($A104/1000)^3+Data!$V$64*($A104/1000)^4+Data!$V$65*($A104/1000)^5+Data!$V$66*($A104/1000)^6+Data!$V$67*($A104/1000)^7))))</f>
        <v>0.77548074734755512</v>
      </c>
    </row>
    <row r="105" spans="1:3" x14ac:dyDescent="0.3">
      <c r="A105">
        <f>7.157236*(29979200000/1000000000)</f>
        <v>214.56820949120001</v>
      </c>
      <c r="B105">
        <v>7.6499999999999997E-3</v>
      </c>
      <c r="C105">
        <f>MAX(0,(-B105+1/EXP((Data!$N$58*2.54)*(Data!$V$60+Data!$V$61*($A105/1000)+Data!$V$62*($A105/1000)^2+Data!$V$63*($A105/1000)^3+Data!$V$64*($A105/1000)^4+Data!$V$65*($A105/1000)^5+Data!$V$66*($A105/1000)^6+Data!$V$67*($A105/1000)^7))))</f>
        <v>0.77273992172456873</v>
      </c>
    </row>
    <row r="106" spans="1:3" x14ac:dyDescent="0.3">
      <c r="A106">
        <f>7.207639*(29979200000/1000000000)</f>
        <v>216.07925110880001</v>
      </c>
      <c r="B106">
        <v>6.7499999999999999E-3</v>
      </c>
      <c r="C106">
        <f>MAX(0,(-B106+1/EXP((Data!$N$58*2.54)*(Data!$V$60+Data!$V$61*($A106/1000)+Data!$V$62*($A106/1000)^2+Data!$V$63*($A106/1000)^3+Data!$V$64*($A106/1000)^4+Data!$V$65*($A106/1000)^5+Data!$V$66*($A106/1000)^6+Data!$V$67*($A106/1000)^7))))</f>
        <v>0.77189735958726235</v>
      </c>
    </row>
    <row r="107" spans="1:3" x14ac:dyDescent="0.3">
      <c r="A107">
        <f>7.258042*(29979200000/1000000000)</f>
        <v>217.59029272639998</v>
      </c>
      <c r="B107">
        <v>3.98E-3</v>
      </c>
      <c r="C107">
        <f>MAX(0,(-B107+1/EXP((Data!$N$58*2.54)*(Data!$V$60+Data!$V$61*($A107/1000)+Data!$V$62*($A107/1000)^2+Data!$V$63*($A107/1000)^3+Data!$V$64*($A107/1000)^4+Data!$V$65*($A107/1000)^5+Data!$V$66*($A107/1000)^6+Data!$V$67*($A107/1000)^7))))</f>
        <v>0.77293302150917564</v>
      </c>
    </row>
    <row r="108" spans="1:3" x14ac:dyDescent="0.3">
      <c r="A108">
        <f>7.308445*(29979200000/1000000000)</f>
        <v>219.10133434400001</v>
      </c>
      <c r="B108">
        <v>1.3799999999999999E-3</v>
      </c>
      <c r="C108">
        <f>MAX(0,(-B108+1/EXP((Data!$N$58*2.54)*(Data!$V$60+Data!$V$61*($A108/1000)+Data!$V$62*($A108/1000)^2+Data!$V$63*($A108/1000)^3+Data!$V$64*($A108/1000)^4+Data!$V$65*($A108/1000)^5+Data!$V$66*($A108/1000)^6+Data!$V$67*($A108/1000)^7))))</f>
        <v>0.77380686827515521</v>
      </c>
    </row>
    <row r="109" spans="1:3" x14ac:dyDescent="0.3">
      <c r="A109">
        <f>7.358848*(29979200000/1000000000)</f>
        <v>220.61237596159998</v>
      </c>
      <c r="B109">
        <v>4.4999999999999999E-4</v>
      </c>
      <c r="C109">
        <f>MAX(0,(-B109+1/EXP((Data!$N$58*2.54)*(Data!$V$60+Data!$V$61*($A109/1000)+Data!$V$62*($A109/1000)^2+Data!$V$63*($A109/1000)^3+Data!$V$64*($A109/1000)^4+Data!$V$65*($A109/1000)^5+Data!$V$66*($A109/1000)^6+Data!$V$67*($A109/1000)^7))))</f>
        <v>0.77301886088004623</v>
      </c>
    </row>
    <row r="110" spans="1:3" x14ac:dyDescent="0.3">
      <c r="A110">
        <f>7.409251*(29979200000/1000000000)</f>
        <v>222.12341757920004</v>
      </c>
      <c r="B110">
        <v>3.0000000000000001E-5</v>
      </c>
      <c r="C110">
        <f>MAX(0,(-B110+1/EXP((Data!$N$58*2.54)*(Data!$V$60+Data!$V$61*($A110/1000)+Data!$V$62*($A110/1000)^2+Data!$V$63*($A110/1000)^3+Data!$V$64*($A110/1000)^4+Data!$V$65*($A110/1000)^5+Data!$V$66*($A110/1000)^6+Data!$V$67*($A110/1000)^7))))</f>
        <v>0.77172896052739215</v>
      </c>
    </row>
    <row r="111" spans="1:3" x14ac:dyDescent="0.3">
      <c r="A111">
        <f>7.459654*(29979200000/1000000000)</f>
        <v>223.63445919680001</v>
      </c>
      <c r="B111">
        <v>0</v>
      </c>
      <c r="C111">
        <f>MAX(0,(-B111+1/EXP((Data!$N$58*2.54)*(Data!$V$60+Data!$V$61*($A111/1000)+Data!$V$62*($A111/1000)^2+Data!$V$63*($A111/1000)^3+Data!$V$64*($A111/1000)^4+Data!$V$65*($A111/1000)^5+Data!$V$66*($A111/1000)^6+Data!$V$67*($A111/1000)^7))))</f>
        <v>0.77005712862814468</v>
      </c>
    </row>
    <row r="112" spans="1:3" x14ac:dyDescent="0.3">
      <c r="A112">
        <f>7.510057*(29979200000/1000000000)</f>
        <v>225.14550081439998</v>
      </c>
      <c r="B112">
        <v>0</v>
      </c>
      <c r="C112">
        <f>MAX(0,(-B112+1/EXP((Data!$N$58*2.54)*(Data!$V$60+Data!$V$61*($A112/1000)+Data!$V$62*($A112/1000)^2+Data!$V$63*($A112/1000)^3+Data!$V$64*($A112/1000)^4+Data!$V$65*($A112/1000)^5+Data!$V$66*($A112/1000)^6+Data!$V$67*($A112/1000)^7))))</f>
        <v>0.76836332679938224</v>
      </c>
    </row>
    <row r="113" spans="1:3" x14ac:dyDescent="0.3">
      <c r="A113">
        <f>7.56046*(29979200000/1000000000)</f>
        <v>226.65654243200001</v>
      </c>
      <c r="B113">
        <v>0</v>
      </c>
      <c r="C113">
        <f>MAX(0,(-B113+1/EXP((Data!$N$58*2.54)*(Data!$V$60+Data!$V$61*($A113/1000)+Data!$V$62*($A113/1000)^2+Data!$V$63*($A113/1000)^3+Data!$V$64*($A113/1000)^4+Data!$V$65*($A113/1000)^5+Data!$V$66*($A113/1000)^6+Data!$V$67*($A113/1000)^7))))</f>
        <v>0.7666775168630352</v>
      </c>
    </row>
    <row r="114" spans="1:3" x14ac:dyDescent="0.3">
      <c r="A114">
        <f>7.610863*(29979200000/1000000000)</f>
        <v>228.16758404960001</v>
      </c>
      <c r="B114">
        <v>0</v>
      </c>
      <c r="C114">
        <f>MAX(0,(-B114+1/EXP((Data!$N$58*2.54)*(Data!$V$60+Data!$V$61*($A114/1000)+Data!$V$62*($A114/1000)^2+Data!$V$63*($A114/1000)^3+Data!$V$64*($A114/1000)^4+Data!$V$65*($A114/1000)^5+Data!$V$66*($A114/1000)^6+Data!$V$67*($A114/1000)^7))))</f>
        <v>0.76499966084462279</v>
      </c>
    </row>
    <row r="115" spans="1:3" x14ac:dyDescent="0.3">
      <c r="A115">
        <f>7.661266*(29979200000/1000000000)</f>
        <v>229.67862566720004</v>
      </c>
      <c r="B115">
        <v>0</v>
      </c>
      <c r="C115">
        <f>MAX(0,(-B115+1/EXP((Data!$N$58*2.54)*(Data!$V$60+Data!$V$61*($A115/1000)+Data!$V$62*($A115/1000)^2+Data!$V$63*($A115/1000)^3+Data!$V$64*($A115/1000)^4+Data!$V$65*($A115/1000)^5+Data!$V$66*($A115/1000)^6+Data!$V$67*($A115/1000)^7))))</f>
        <v>0.76332972097199603</v>
      </c>
    </row>
    <row r="116" spans="1:3" x14ac:dyDescent="0.3">
      <c r="A116">
        <f>7.711669*(29979200000/1000000000)</f>
        <v>231.18966728480001</v>
      </c>
      <c r="B116">
        <v>0</v>
      </c>
      <c r="C116">
        <f>MAX(0,(-B116+1/EXP((Data!$N$58*2.54)*(Data!$V$60+Data!$V$61*($A116/1000)+Data!$V$62*($A116/1000)^2+Data!$V$63*($A116/1000)^3+Data!$V$64*($A116/1000)^4+Data!$V$65*($A116/1000)^5+Data!$V$66*($A116/1000)^6+Data!$V$67*($A116/1000)^7))))</f>
        <v>0.76166765967409034</v>
      </c>
    </row>
    <row r="117" spans="1:3" x14ac:dyDescent="0.3">
      <c r="A117">
        <f>7.762072*(29979200000/1000000000)</f>
        <v>232.70070890239998</v>
      </c>
      <c r="B117">
        <v>0</v>
      </c>
      <c r="C117">
        <f>MAX(0,(-B117+1/EXP((Data!$N$58*2.54)*(Data!$V$60+Data!$V$61*($A117/1000)+Data!$V$62*($A117/1000)^2+Data!$V$63*($A117/1000)^3+Data!$V$64*($A117/1000)^4+Data!$V$65*($A117/1000)^5+Data!$V$66*($A117/1000)^6+Data!$V$67*($A117/1000)^7))))</f>
        <v>0.76001343957968603</v>
      </c>
    </row>
    <row r="118" spans="1:3" x14ac:dyDescent="0.3">
      <c r="A118">
        <f>7.812475*(29979200000/1000000000)</f>
        <v>234.21175052000001</v>
      </c>
      <c r="B118">
        <v>0</v>
      </c>
      <c r="C118">
        <f>MAX(0,(-B118+1/EXP((Data!$N$58*2.54)*(Data!$V$60+Data!$V$61*($A118/1000)+Data!$V$62*($A118/1000)^2+Data!$V$63*($A118/1000)^3+Data!$V$64*($A118/1000)^4+Data!$V$65*($A118/1000)^5+Data!$V$66*($A118/1000)^6+Data!$V$67*($A118/1000)^7))))</f>
        <v>0.75836702351617757</v>
      </c>
    </row>
    <row r="119" spans="1:3" x14ac:dyDescent="0.3">
      <c r="A119">
        <f>7.862878*(29979200000/1000000000)</f>
        <v>235.72279213760001</v>
      </c>
      <c r="B119">
        <v>0</v>
      </c>
      <c r="C119">
        <f>MAX(0,(-B119+1/EXP((Data!$N$58*2.54)*(Data!$V$60+Data!$V$61*($A119/1000)+Data!$V$62*($A119/1000)^2+Data!$V$63*($A119/1000)^3+Data!$V$64*($A119/1000)^4+Data!$V$65*($A119/1000)^5+Data!$V$66*($A119/1000)^6+Data!$V$67*($A119/1000)^7))))</f>
        <v>0.75672837450835106</v>
      </c>
    </row>
    <row r="120" spans="1:3" x14ac:dyDescent="0.3">
      <c r="A120">
        <f>7.913281*(29979200000/1000000000)</f>
        <v>237.23383375519998</v>
      </c>
      <c r="B120">
        <v>9.0000000000000006E-5</v>
      </c>
      <c r="C120">
        <f>MAX(0,(-B120+1/EXP((Data!$N$58*2.54)*(Data!$V$60+Data!$V$61*($A120/1000)+Data!$V$62*($A120/1000)^2+Data!$V$63*($A120/1000)^3+Data!$V$64*($A120/1000)^4+Data!$V$65*($A120/1000)^5+Data!$V$66*($A120/1000)^6+Data!$V$67*($A120/1000)^7))))</f>
        <v>0.75500745577716877</v>
      </c>
    </row>
    <row r="121" spans="1:3" x14ac:dyDescent="0.3">
      <c r="A121">
        <f>7.963684*(29979200000/1000000000)</f>
        <v>238.74487537280001</v>
      </c>
      <c r="B121">
        <v>8.0000000000000007E-5</v>
      </c>
      <c r="C121">
        <f>MAX(0,(-B121+1/EXP((Data!$N$58*2.54)*(Data!$V$60+Data!$V$61*($A121/1000)+Data!$V$62*($A121/1000)^2+Data!$V$63*($A121/1000)^3+Data!$V$64*($A121/1000)^4+Data!$V$65*($A121/1000)^5+Data!$V$66*($A121/1000)^6+Data!$V$67*($A121/1000)^7))))</f>
        <v>0.75339423073856437</v>
      </c>
    </row>
    <row r="122" spans="1:3" x14ac:dyDescent="0.3">
      <c r="A122">
        <f>8.014087*(29979200000/1000000000)</f>
        <v>240.25591699039998</v>
      </c>
      <c r="B122">
        <v>0</v>
      </c>
      <c r="C122">
        <f>MAX(0,(-B122+1/EXP((Data!$N$58*2.54)*(Data!$V$60+Data!$V$61*($A122/1000)+Data!$V$62*($A122/1000)^2+Data!$V$63*($A122/1000)^3+Data!$V$64*($A122/1000)^4+Data!$V$65*($A122/1000)^5+Data!$V$66*($A122/1000)^6+Data!$V$67*($A122/1000)^7))))</f>
        <v>0.7518586630022428</v>
      </c>
    </row>
    <row r="123" spans="1:3" x14ac:dyDescent="0.3">
      <c r="A123">
        <f>8.06449*(29979200000/1000000000)</f>
        <v>241.76695860800001</v>
      </c>
      <c r="B123">
        <v>0</v>
      </c>
      <c r="C123">
        <f>MAX(0,(-B123+1/EXP((Data!$N$58*2.54)*(Data!$V$60+Data!$V$61*($A123/1000)+Data!$V$62*($A123/1000)^2+Data!$V$63*($A123/1000)^3+Data!$V$64*($A123/1000)^4+Data!$V$65*($A123/1000)^5+Data!$V$66*($A123/1000)^6+Data!$V$67*($A123/1000)^7))))</f>
        <v>0.7502507163704909</v>
      </c>
    </row>
    <row r="124" spans="1:3" x14ac:dyDescent="0.3">
      <c r="A124">
        <f>8.114893*(29979200000/1000000000)</f>
        <v>243.27800022560001</v>
      </c>
      <c r="B124">
        <v>0</v>
      </c>
      <c r="C124">
        <f>MAX(0,(-B124+1/EXP((Data!$N$58*2.54)*(Data!$V$60+Data!$V$61*($A124/1000)+Data!$V$62*($A124/1000)^2+Data!$V$63*($A124/1000)^3+Data!$V$64*($A124/1000)^4+Data!$V$65*($A124/1000)^5+Data!$V$66*($A124/1000)^6+Data!$V$67*($A124/1000)^7))))</f>
        <v>0.74865035483699527</v>
      </c>
    </row>
    <row r="125" spans="1:3" x14ac:dyDescent="0.3">
      <c r="A125">
        <f>8.165296*(29979200000/1000000000)</f>
        <v>244.78904184319998</v>
      </c>
      <c r="B125">
        <v>4.0000000000000003E-5</v>
      </c>
      <c r="C125">
        <f>MAX(0,(-B125+1/EXP((Data!$N$58*2.54)*(Data!$V$60+Data!$V$61*($A125/1000)+Data!$V$62*($A125/1000)^2+Data!$V$63*($A125/1000)^3+Data!$V$64*($A125/1000)^4+Data!$V$65*($A125/1000)^5+Data!$V$66*($A125/1000)^6+Data!$V$67*($A125/1000)^7))))</f>
        <v>0.74701754258566688</v>
      </c>
    </row>
    <row r="126" spans="1:3" x14ac:dyDescent="0.3">
      <c r="A126">
        <f>8.215699*(29979200000/1000000000)</f>
        <v>246.30008346080001</v>
      </c>
      <c r="B126">
        <v>3.4000000000000002E-4</v>
      </c>
      <c r="C126">
        <f>MAX(0,(-B126+1/EXP((Data!$N$58*2.54)*(Data!$V$60+Data!$V$61*($A126/1000)+Data!$V$62*($A126/1000)^2+Data!$V$63*($A126/1000)^3+Data!$V$64*($A126/1000)^4+Data!$V$65*($A126/1000)^5+Data!$V$66*($A126/1000)^6+Data!$V$67*($A126/1000)^7))))</f>
        <v>0.74513224398947453</v>
      </c>
    </row>
    <row r="127" spans="1:3" x14ac:dyDescent="0.3">
      <c r="A127">
        <f>8.266102*(29979200000/1000000000)</f>
        <v>247.81112507839998</v>
      </c>
      <c r="B127">
        <v>1.8000000000000001E-4</v>
      </c>
      <c r="C127">
        <f>MAX(0,(-B127+1/EXP((Data!$N$58*2.54)*(Data!$V$60+Data!$V$61*($A127/1000)+Data!$V$62*($A127/1000)^2+Data!$V$63*($A127/1000)^3+Data!$V$64*($A127/1000)^4+Data!$V$65*($A127/1000)^5+Data!$V$66*($A127/1000)^6+Data!$V$67*($A127/1000)^7))))</f>
        <v>0.7437144236092863</v>
      </c>
    </row>
    <row r="128" spans="1:3" x14ac:dyDescent="0.3">
      <c r="A128">
        <f>8.316505*(29979200000/1000000000)</f>
        <v>249.32216669600001</v>
      </c>
      <c r="B128">
        <v>1.2E-4</v>
      </c>
      <c r="C128">
        <f>MAX(0,(-B128+1/EXP((Data!$N$58*2.54)*(Data!$V$60+Data!$V$61*($A128/1000)+Data!$V$62*($A128/1000)^2+Data!$V$63*($A128/1000)^3+Data!$V$64*($A128/1000)^4+Data!$V$65*($A128/1000)^5+Data!$V$66*($A128/1000)^6+Data!$V$67*($A128/1000)^7))))</f>
        <v>0.74220404619271763</v>
      </c>
    </row>
    <row r="129" spans="1:3" x14ac:dyDescent="0.3">
      <c r="A129">
        <f>8.366908*(29979200000/1000000000)</f>
        <v>250.83320831360001</v>
      </c>
      <c r="B129">
        <v>1.7000000000000001E-4</v>
      </c>
      <c r="C129">
        <f>MAX(0,(-B129+1/EXP((Data!$N$58*2.54)*(Data!$V$60+Data!$V$61*($A129/1000)+Data!$V$62*($A129/1000)^2+Data!$V$63*($A129/1000)^3+Data!$V$64*($A129/1000)^4+Data!$V$65*($A129/1000)^5+Data!$V$66*($A129/1000)^6+Data!$V$67*($A129/1000)^7))))</f>
        <v>0.74059107667298829</v>
      </c>
    </row>
    <row r="130" spans="1:3" x14ac:dyDescent="0.3">
      <c r="A130">
        <f>8.417311*(29979200000/1000000000)</f>
        <v>252.34424993119998</v>
      </c>
      <c r="B130">
        <v>0</v>
      </c>
      <c r="C130">
        <f>MAX(0,(-B130+1/EXP((Data!$N$58*2.54)*(Data!$V$60+Data!$V$61*($A130/1000)+Data!$V$62*($A130/1000)^2+Data!$V$63*($A130/1000)^3+Data!$V$64*($A130/1000)^4+Data!$V$65*($A130/1000)^5+Data!$V$66*($A130/1000)^6+Data!$V$67*($A130/1000)^7))))</f>
        <v>0.73920548016778498</v>
      </c>
    </row>
    <row r="131" spans="1:3" x14ac:dyDescent="0.3">
      <c r="A131">
        <f>8.467714*(29979200000/1000000000)</f>
        <v>253.85529154880001</v>
      </c>
      <c r="B131">
        <v>0</v>
      </c>
      <c r="C131">
        <f>MAX(0,(-B131+1/EXP((Data!$N$58*2.54)*(Data!$V$60+Data!$V$61*($A131/1000)+Data!$V$62*($A131/1000)^2+Data!$V$63*($A131/1000)^3+Data!$V$64*($A131/1000)^4+Data!$V$65*($A131/1000)^5+Data!$V$66*($A131/1000)^6+Data!$V$67*($A131/1000)^7))))</f>
        <v>0.73765722197813388</v>
      </c>
    </row>
    <row r="132" spans="1:3" x14ac:dyDescent="0.3">
      <c r="A132">
        <f>8.518117*(29979200000/1000000000)</f>
        <v>255.36633316639998</v>
      </c>
      <c r="B132">
        <v>6.9999999999999994E-5</v>
      </c>
      <c r="C132">
        <f>MAX(0,(-B132+1/EXP((Data!$N$58*2.54)*(Data!$V$60+Data!$V$61*($A132/1000)+Data!$V$62*($A132/1000)^2+Data!$V$63*($A132/1000)^3+Data!$V$64*($A132/1000)^4+Data!$V$65*($A132/1000)^5+Data!$V$66*($A132/1000)^6+Data!$V$67*($A132/1000)^7))))</f>
        <v>0.73604626758727887</v>
      </c>
    </row>
    <row r="133" spans="1:3" x14ac:dyDescent="0.3">
      <c r="A133">
        <f>8.56852*(29979200000/1000000000)</f>
        <v>256.87737478400004</v>
      </c>
      <c r="B133">
        <v>3.5E-4</v>
      </c>
      <c r="C133">
        <f>MAX(0,(-B133+1/EXP((Data!$N$58*2.54)*(Data!$V$60+Data!$V$61*($A133/1000)+Data!$V$62*($A133/1000)^2+Data!$V$63*($A133/1000)^3+Data!$V$64*($A133/1000)^4+Data!$V$65*($A133/1000)^5+Data!$V$66*($A133/1000)^6+Data!$V$67*($A133/1000)^7))))</f>
        <v>0.73423258265956759</v>
      </c>
    </row>
    <row r="134" spans="1:3" x14ac:dyDescent="0.3">
      <c r="A134">
        <f>8.618923*(29979200000/1000000000)</f>
        <v>258.38841640160001</v>
      </c>
      <c r="B134">
        <v>4.0999999999999999E-4</v>
      </c>
      <c r="C134">
        <f>MAX(0,(-B134+1/EXP((Data!$N$58*2.54)*(Data!$V$60+Data!$V$61*($A134/1000)+Data!$V$62*($A134/1000)^2+Data!$V$63*($A134/1000)^3+Data!$V$64*($A134/1000)^4+Data!$V$65*($A134/1000)^5+Data!$V$66*($A134/1000)^6+Data!$V$67*($A134/1000)^7))))</f>
        <v>0.73264613303934467</v>
      </c>
    </row>
    <row r="135" spans="1:3" x14ac:dyDescent="0.3">
      <c r="A135">
        <f>8.669326*(29979200000/1000000000)</f>
        <v>259.89945801919998</v>
      </c>
      <c r="B135">
        <v>1.4999999999999999E-4</v>
      </c>
      <c r="C135">
        <f>MAX(0,(-B135+1/EXP((Data!$N$58*2.54)*(Data!$V$60+Data!$V$61*($A135/1000)+Data!$V$62*($A135/1000)^2+Data!$V$63*($A135/1000)^3+Data!$V$64*($A135/1000)^4+Data!$V$65*($A135/1000)^5+Data!$V$66*($A135/1000)^6+Data!$V$67*($A135/1000)^7))))</f>
        <v>0.73138688474985325</v>
      </c>
    </row>
    <row r="136" spans="1:3" x14ac:dyDescent="0.3">
      <c r="A136">
        <f>8.719729*(29979200000/1000000000)</f>
        <v>261.41049963680001</v>
      </c>
      <c r="B136">
        <v>2.7999999999999998E-4</v>
      </c>
      <c r="C136">
        <f>MAX(0,(-B136+1/EXP((Data!$N$58*2.54)*(Data!$V$60+Data!$V$61*($A136/1000)+Data!$V$62*($A136/1000)^2+Data!$V$63*($A136/1000)^3+Data!$V$64*($A136/1000)^4+Data!$V$65*($A136/1000)^5+Data!$V$66*($A136/1000)^6+Data!$V$67*($A136/1000)^7))))</f>
        <v>0.72974480399214181</v>
      </c>
    </row>
    <row r="137" spans="1:3" x14ac:dyDescent="0.3">
      <c r="A137">
        <f>8.770132*(29979200000/1000000000)</f>
        <v>262.92154125439998</v>
      </c>
      <c r="B137">
        <v>2.4000000000000001E-4</v>
      </c>
      <c r="C137">
        <f>MAX(0,(-B137+1/EXP((Data!$N$58*2.54)*(Data!$V$60+Data!$V$61*($A137/1000)+Data!$V$62*($A137/1000)^2+Data!$V$63*($A137/1000)^3+Data!$V$64*($A137/1000)^4+Data!$V$65*($A137/1000)^5+Data!$V$66*($A137/1000)^6+Data!$V$67*($A137/1000)^7))))</f>
        <v>0.72827985714397991</v>
      </c>
    </row>
    <row r="138" spans="1:3" x14ac:dyDescent="0.3">
      <c r="A138">
        <f>8.820535*(29979200000/1000000000)</f>
        <v>264.43258287199995</v>
      </c>
      <c r="B138">
        <v>2.4000000000000001E-4</v>
      </c>
      <c r="C138">
        <f>MAX(0,(-B138+1/EXP((Data!$N$58*2.54)*(Data!$V$60+Data!$V$61*($A138/1000)+Data!$V$62*($A138/1000)^2+Data!$V$63*($A138/1000)^3+Data!$V$64*($A138/1000)^4+Data!$V$65*($A138/1000)^5+Data!$V$66*($A138/1000)^6+Data!$V$67*($A138/1000)^7))))</f>
        <v>0.72678201075877991</v>
      </c>
    </row>
    <row r="139" spans="1:3" x14ac:dyDescent="0.3">
      <c r="A139">
        <f>8.870938*(29979200000/1000000000)</f>
        <v>265.94362448959998</v>
      </c>
      <c r="B139">
        <v>0</v>
      </c>
      <c r="C139">
        <f>MAX(0,(-B139+1/EXP((Data!$N$58*2.54)*(Data!$V$60+Data!$V$61*($A139/1000)+Data!$V$62*($A139/1000)^2+Data!$V$63*($A139/1000)^3+Data!$V$64*($A139/1000)^4+Data!$V$65*($A139/1000)^5+Data!$V$66*($A139/1000)^6+Data!$V$67*($A139/1000)^7))))</f>
        <v>0.72553123156452659</v>
      </c>
    </row>
    <row r="140" spans="1:3" x14ac:dyDescent="0.3">
      <c r="A140">
        <f>8.921341*(29979200000/1000000000)</f>
        <v>267.45466610720001</v>
      </c>
      <c r="B140">
        <v>0</v>
      </c>
      <c r="C140">
        <f>MAX(0,(-B140+1/EXP((Data!$N$58*2.54)*(Data!$V$60+Data!$V$61*($A140/1000)+Data!$V$62*($A140/1000)^2+Data!$V$63*($A140/1000)^3+Data!$V$64*($A140/1000)^4+Data!$V$65*($A140/1000)^5+Data!$V$66*($A140/1000)^6+Data!$V$67*($A140/1000)^7))))</f>
        <v>0.72404748646271244</v>
      </c>
    </row>
    <row r="141" spans="1:3" x14ac:dyDescent="0.3">
      <c r="A141">
        <f>8.971744*(29979200000/1000000000)</f>
        <v>268.96570772480004</v>
      </c>
      <c r="B141">
        <v>0</v>
      </c>
      <c r="C141">
        <f>MAX(0,(-B141+1/EXP((Data!$N$58*2.54)*(Data!$V$60+Data!$V$61*($A141/1000)+Data!$V$62*($A141/1000)^2+Data!$V$63*($A141/1000)^3+Data!$V$64*($A141/1000)^4+Data!$V$65*($A141/1000)^5+Data!$V$66*($A141/1000)^6+Data!$V$67*($A141/1000)^7))))</f>
        <v>0.72257074252728182</v>
      </c>
    </row>
    <row r="142" spans="1:3" x14ac:dyDescent="0.3">
      <c r="A142">
        <f>9.022147*(29979200000/1000000000)</f>
        <v>270.47674934240001</v>
      </c>
      <c r="B142">
        <v>4.4999999999999999E-4</v>
      </c>
      <c r="C142">
        <f>MAX(0,(-B142+1/EXP((Data!$N$58*2.54)*(Data!$V$60+Data!$V$61*($A142/1000)+Data!$V$62*($A142/1000)^2+Data!$V$63*($A142/1000)^3+Data!$V$64*($A142/1000)^4+Data!$V$65*($A142/1000)^5+Data!$V$66*($A142/1000)^6+Data!$V$67*($A142/1000)^7))))</f>
        <v>0.72065096700357989</v>
      </c>
    </row>
    <row r="143" spans="1:3" x14ac:dyDescent="0.3">
      <c r="A143">
        <f>9.07255*(29979200000/1000000000)</f>
        <v>271.98779095999998</v>
      </c>
      <c r="B143">
        <v>3.8999999999999999E-4</v>
      </c>
      <c r="C143">
        <f>MAX(0,(-B143+1/EXP((Data!$N$58*2.54)*(Data!$V$60+Data!$V$61*($A143/1000)+Data!$V$62*($A143/1000)^2+Data!$V$63*($A143/1000)^3+Data!$V$64*($A143/1000)^4+Data!$V$65*($A143/1000)^5+Data!$V$66*($A143/1000)^6+Data!$V$67*($A143/1000)^7))))</f>
        <v>0.71924812730730969</v>
      </c>
    </row>
    <row r="144" spans="1:3" x14ac:dyDescent="0.3">
      <c r="A144">
        <f>9.122953*(29979200000/1000000000)</f>
        <v>273.49883257760001</v>
      </c>
      <c r="B144">
        <v>0</v>
      </c>
      <c r="C144">
        <f>MAX(0,(-B144+1/EXP((Data!$N$58*2.54)*(Data!$V$60+Data!$V$61*($A144/1000)+Data!$V$62*($A144/1000)^2+Data!$V$63*($A144/1000)^3+Data!$V$64*($A144/1000)^4+Data!$V$65*($A144/1000)^5+Data!$V$66*($A144/1000)^6+Data!$V$67*($A144/1000)^7))))</f>
        <v>0.71818219102349601</v>
      </c>
    </row>
    <row r="145" spans="1:3" x14ac:dyDescent="0.3">
      <c r="A145">
        <f>9.173356*(29979200000/1000000000)</f>
        <v>275.00987419519998</v>
      </c>
      <c r="B145">
        <v>2.7999999999999998E-4</v>
      </c>
      <c r="C145">
        <f>MAX(0,(-B145+1/EXP((Data!$N$58*2.54)*(Data!$V$60+Data!$V$61*($A145/1000)+Data!$V$62*($A145/1000)^2+Data!$V$63*($A145/1000)^3+Data!$V$64*($A145/1000)^4+Data!$V$65*($A145/1000)^5+Data!$V$66*($A145/1000)^6+Data!$V$67*($A145/1000)^7))))</f>
        <v>0.71645312590545451</v>
      </c>
    </row>
    <row r="146" spans="1:3" x14ac:dyDescent="0.3">
      <c r="A146">
        <f>9.223759*(29979200000/1000000000)</f>
        <v>276.52091581280001</v>
      </c>
      <c r="B146">
        <v>3.2000000000000003E-4</v>
      </c>
      <c r="C146">
        <f>MAX(0,(-B146+1/EXP((Data!$N$58*2.54)*(Data!$V$60+Data!$V$61*($A146/1000)+Data!$V$62*($A146/1000)^2+Data!$V$63*($A146/1000)^3+Data!$V$64*($A146/1000)^4+Data!$V$65*($A146/1000)^5+Data!$V$66*($A146/1000)^6+Data!$V$67*($A146/1000)^7))))</f>
        <v>0.71497089987377005</v>
      </c>
    </row>
    <row r="147" spans="1:3" x14ac:dyDescent="0.3">
      <c r="A147">
        <f>9.274162*(29979200000/1000000000)</f>
        <v>278.03195743039998</v>
      </c>
      <c r="B147">
        <v>0</v>
      </c>
      <c r="C147">
        <f>MAX(0,(-B147+1/EXP((Data!$N$58*2.54)*(Data!$V$60+Data!$V$61*($A147/1000)+Data!$V$62*($A147/1000)^2+Data!$V$63*($A147/1000)^3+Data!$V$64*($A147/1000)^4+Data!$V$65*($A147/1000)^5+Data!$V$66*($A147/1000)^6+Data!$V$67*($A147/1000)^7))))</f>
        <v>0.71385548101527885</v>
      </c>
    </row>
    <row r="148" spans="1:3" x14ac:dyDescent="0.3">
      <c r="A148">
        <f>9.324565*(29979200000/1000000000)</f>
        <v>279.54299904799996</v>
      </c>
      <c r="B148">
        <v>2.3000000000000001E-4</v>
      </c>
      <c r="C148">
        <f>MAX(0,(-B148+1/EXP((Data!$N$58*2.54)*(Data!$V$60+Data!$V$61*($A148/1000)+Data!$V$62*($A148/1000)^2+Data!$V$63*($A148/1000)^3+Data!$V$64*($A148/1000)^4+Data!$V$65*($A148/1000)^5+Data!$V$66*($A148/1000)^6+Data!$V$67*($A148/1000)^7))))</f>
        <v>0.71219683758205898</v>
      </c>
    </row>
    <row r="149" spans="1:3" x14ac:dyDescent="0.3">
      <c r="A149">
        <f>9.374968*(29979200000/1000000000)</f>
        <v>281.05404066560004</v>
      </c>
      <c r="B149">
        <v>6.3000000000000003E-4</v>
      </c>
      <c r="C149">
        <f>MAX(0,(-B149+1/EXP((Data!$N$58*2.54)*(Data!$V$60+Data!$V$61*($A149/1000)+Data!$V$62*($A149/1000)^2+Data!$V$63*($A149/1000)^3+Data!$V$64*($A149/1000)^4+Data!$V$65*($A149/1000)^5+Data!$V$66*($A149/1000)^6+Data!$V$67*($A149/1000)^7))))</f>
        <v>0.71037493799042706</v>
      </c>
    </row>
    <row r="150" spans="1:3" x14ac:dyDescent="0.3">
      <c r="A150">
        <f>9.425371*(29979200000/1000000000)</f>
        <v>282.56508228320001</v>
      </c>
      <c r="B150">
        <v>6.9999999999999999E-4</v>
      </c>
      <c r="C150">
        <f>MAX(0,(-B150+1/EXP((Data!$N$58*2.54)*(Data!$V$60+Data!$V$61*($A150/1000)+Data!$V$62*($A150/1000)^2+Data!$V$63*($A150/1000)^3+Data!$V$64*($A150/1000)^4+Data!$V$65*($A150/1000)^5+Data!$V$66*($A150/1000)^6+Data!$V$67*($A150/1000)^7))))</f>
        <v>0.70888975081994099</v>
      </c>
    </row>
    <row r="151" spans="1:3" x14ac:dyDescent="0.3">
      <c r="A151">
        <f>9.475774*(29979200000/1000000000)</f>
        <v>284.07612390080004</v>
      </c>
      <c r="B151">
        <v>3.1E-4</v>
      </c>
      <c r="C151">
        <f>MAX(0,(-B151+1/EXP((Data!$N$58*2.54)*(Data!$V$60+Data!$V$61*($A151/1000)+Data!$V$62*($A151/1000)^2+Data!$V$63*($A151/1000)^3+Data!$V$64*($A151/1000)^4+Data!$V$65*($A151/1000)^5+Data!$V$66*($A151/1000)^6+Data!$V$67*($A151/1000)^7))))</f>
        <v>0.70787124481240904</v>
      </c>
    </row>
    <row r="152" spans="1:3" x14ac:dyDescent="0.3">
      <c r="A152">
        <f>9.526177*(29979200000/1000000000)</f>
        <v>285.58716551840001</v>
      </c>
      <c r="B152">
        <v>1.2E-4</v>
      </c>
      <c r="C152">
        <f>MAX(0,(-B152+1/EXP((Data!$N$58*2.54)*(Data!$V$60+Data!$V$61*($A152/1000)+Data!$V$62*($A152/1000)^2+Data!$V$63*($A152/1000)^3+Data!$V$64*($A152/1000)^4+Data!$V$65*($A152/1000)^5+Data!$V$66*($A152/1000)^6+Data!$V$67*($A152/1000)^7))))</f>
        <v>0.70665938887090629</v>
      </c>
    </row>
    <row r="153" spans="1:3" x14ac:dyDescent="0.3">
      <c r="A153">
        <f>9.57658*(29979200000/1000000000)</f>
        <v>287.09820713599998</v>
      </c>
      <c r="B153">
        <v>1.2999999999999999E-4</v>
      </c>
      <c r="C153">
        <f>MAX(0,(-B153+1/EXP((Data!$N$58*2.54)*(Data!$V$60+Data!$V$61*($A153/1000)+Data!$V$62*($A153/1000)^2+Data!$V$63*($A153/1000)^3+Data!$V$64*($A153/1000)^4+Data!$V$65*($A153/1000)^5+Data!$V$66*($A153/1000)^6+Data!$V$67*($A153/1000)^7))))</f>
        <v>0.70525415205879582</v>
      </c>
    </row>
    <row r="154" spans="1:3" x14ac:dyDescent="0.3">
      <c r="A154">
        <f>9.626983*(29979200000/1000000000)</f>
        <v>288.60924875360001</v>
      </c>
      <c r="B154">
        <v>3.6999999999999999E-4</v>
      </c>
      <c r="C154">
        <f>MAX(0,(-B154+1/EXP((Data!$N$58*2.54)*(Data!$V$60+Data!$V$61*($A154/1000)+Data!$V$62*($A154/1000)^2+Data!$V$63*($A154/1000)^3+Data!$V$64*($A154/1000)^4+Data!$V$65*($A154/1000)^5+Data!$V$66*($A154/1000)^6+Data!$V$67*($A154/1000)^7))))</f>
        <v>0.7036255035987572</v>
      </c>
    </row>
    <row r="155" spans="1:3" x14ac:dyDescent="0.3">
      <c r="A155">
        <f>9.677386*(29979200000/1000000000)</f>
        <v>290.12029037119999</v>
      </c>
      <c r="B155">
        <v>5.5000000000000003E-4</v>
      </c>
      <c r="C155">
        <f>MAX(0,(-B155+1/EXP((Data!$N$58*2.54)*(Data!$V$60+Data!$V$61*($A155/1000)+Data!$V$62*($A155/1000)^2+Data!$V$63*($A155/1000)^3+Data!$V$64*($A155/1000)^4+Data!$V$65*($A155/1000)^5+Data!$V$66*($A155/1000)^6+Data!$V$67*($A155/1000)^7))))</f>
        <v>0.70206341287182172</v>
      </c>
    </row>
    <row r="156" spans="1:3" x14ac:dyDescent="0.3">
      <c r="A156">
        <f>9.727789*(29979200000/1000000000)</f>
        <v>291.63133198880001</v>
      </c>
      <c r="B156">
        <v>3.1E-4</v>
      </c>
      <c r="C156">
        <f>MAX(0,(-B156+1/EXP((Data!$N$58*2.54)*(Data!$V$60+Data!$V$61*($A156/1000)+Data!$V$62*($A156/1000)^2+Data!$V$63*($A156/1000)^3+Data!$V$64*($A156/1000)^4+Data!$V$65*($A156/1000)^5+Data!$V$66*($A156/1000)^6+Data!$V$67*($A156/1000)^7))))</f>
        <v>0.70092784941641162</v>
      </c>
    </row>
    <row r="157" spans="1:3" x14ac:dyDescent="0.3">
      <c r="A157">
        <f>9.778192*(29979200000/1000000000)</f>
        <v>293.14237360639999</v>
      </c>
      <c r="B157">
        <v>0</v>
      </c>
      <c r="C157">
        <f>MAX(0,(-B157+1/EXP((Data!$N$58*2.54)*(Data!$V$60+Data!$V$61*($A157/1000)+Data!$V$62*($A157/1000)^2+Data!$V$63*($A157/1000)^3+Data!$V$64*($A157/1000)^4+Data!$V$65*($A157/1000)^5+Data!$V$66*($A157/1000)^6+Data!$V$67*($A157/1000)^7))))</f>
        <v>0.69986878292738841</v>
      </c>
    </row>
    <row r="158" spans="1:3" x14ac:dyDescent="0.3">
      <c r="A158">
        <f>9.828595*(29979200000/1000000000)</f>
        <v>294.65341522400001</v>
      </c>
      <c r="B158">
        <v>2.0000000000000002E-5</v>
      </c>
      <c r="C158">
        <f>MAX(0,(-B158+1/EXP((Data!$N$58*2.54)*(Data!$V$60+Data!$V$61*($A158/1000)+Data!$V$62*($A158/1000)^2+Data!$V$63*($A158/1000)^3+Data!$V$64*($A158/1000)^4+Data!$V$65*($A158/1000)^5+Data!$V$66*($A158/1000)^6+Data!$V$67*($A158/1000)^7))))</f>
        <v>0.69848618325510392</v>
      </c>
    </row>
    <row r="159" spans="1:3" x14ac:dyDescent="0.3">
      <c r="A159">
        <f>9.878998*(29979200000/1000000000)</f>
        <v>296.16445684160004</v>
      </c>
      <c r="B159">
        <v>3.8999999999999999E-4</v>
      </c>
      <c r="C159">
        <f>MAX(0,(-B159+1/EXP((Data!$N$58*2.54)*(Data!$V$60+Data!$V$61*($A159/1000)+Data!$V$62*($A159/1000)^2+Data!$V$63*($A159/1000)^3+Data!$V$64*($A159/1000)^4+Data!$V$65*($A159/1000)^5+Data!$V$66*($A159/1000)^6+Data!$V$67*($A159/1000)^7))))</f>
        <v>0.69676002040446128</v>
      </c>
    </row>
    <row r="160" spans="1:3" x14ac:dyDescent="0.3">
      <c r="A160">
        <f>9.929401*(29979200000/1000000000)</f>
        <v>297.67549845920001</v>
      </c>
      <c r="B160">
        <v>4.6000000000000001E-4</v>
      </c>
      <c r="C160">
        <f>MAX(0,(-B160+1/EXP((Data!$N$58*2.54)*(Data!$V$60+Data!$V$61*($A160/1000)+Data!$V$62*($A160/1000)^2+Data!$V$63*($A160/1000)^3+Data!$V$64*($A160/1000)^4+Data!$V$65*($A160/1000)^5+Data!$V$66*($A160/1000)^6+Data!$V$67*($A160/1000)^7))))</f>
        <v>0.69534026453397746</v>
      </c>
    </row>
    <row r="161" spans="1:3" x14ac:dyDescent="0.3">
      <c r="A161">
        <f>9.979804*(29979200000/1000000000)</f>
        <v>299.18654007679999</v>
      </c>
      <c r="B161">
        <v>5.5999999999999995E-4</v>
      </c>
      <c r="C161">
        <f>MAX(0,(-B161+1/EXP((Data!$N$58*2.54)*(Data!$V$60+Data!$V$61*($A161/1000)+Data!$V$62*($A161/1000)^2+Data!$V$63*($A161/1000)^3+Data!$V$64*($A161/1000)^4+Data!$V$65*($A161/1000)^5+Data!$V$66*($A161/1000)^6+Data!$V$67*($A161/1000)^7))))</f>
        <v>0.69389688595485555</v>
      </c>
    </row>
    <row r="162" spans="1:3" x14ac:dyDescent="0.3">
      <c r="A162">
        <f>10.030207*(29979200000/1000000000)</f>
        <v>300.69758169440001</v>
      </c>
      <c r="B162">
        <v>5.6999999999999998E-4</v>
      </c>
      <c r="C162">
        <f>MAX(0,(-B162+1/EXP((Data!$N$58*2.54)*(Data!$V$60+Data!$V$61*($A162/1000)+Data!$V$62*($A162/1000)^2+Data!$V$63*($A162/1000)^3+Data!$V$64*($A162/1000)^4+Data!$V$65*($A162/1000)^5+Data!$V$66*($A162/1000)^6+Data!$V$67*($A162/1000)^7))))</f>
        <v>0.69254985513006129</v>
      </c>
    </row>
    <row r="163" spans="1:3" x14ac:dyDescent="0.3">
      <c r="A163">
        <f>10.08061*(29979200000/1000000000)</f>
        <v>302.20862331199999</v>
      </c>
      <c r="B163">
        <v>5.5999999999999995E-4</v>
      </c>
      <c r="C163">
        <f>MAX(0,(-B163+1/EXP((Data!$N$58*2.54)*(Data!$V$60+Data!$V$61*($A163/1000)+Data!$V$62*($A163/1000)^2+Data!$V$63*($A163/1000)^3+Data!$V$64*($A163/1000)^4+Data!$V$65*($A163/1000)^5+Data!$V$66*($A163/1000)^6+Data!$V$67*($A163/1000)^7))))</f>
        <v>0.69122914267340452</v>
      </c>
    </row>
    <row r="164" spans="1:3" x14ac:dyDescent="0.3">
      <c r="A164">
        <f>10.131013*(29979200000/1000000000)</f>
        <v>303.71966492960001</v>
      </c>
      <c r="B164">
        <v>6.2E-4</v>
      </c>
      <c r="C164">
        <f>MAX(0,(-B164+1/EXP((Data!$N$58*2.54)*(Data!$V$60+Data!$V$61*($A164/1000)+Data!$V$62*($A164/1000)^2+Data!$V$63*($A164/1000)^3+Data!$V$64*($A164/1000)^4+Data!$V$65*($A164/1000)^5+Data!$V$66*($A164/1000)^6+Data!$V$67*($A164/1000)^7))))</f>
        <v>0.68984471934862823</v>
      </c>
    </row>
    <row r="165" spans="1:3" x14ac:dyDescent="0.3">
      <c r="A165">
        <f>10.181416*(29979200000/1000000000)</f>
        <v>305.23070654719999</v>
      </c>
      <c r="B165">
        <v>5.1000000000000004E-4</v>
      </c>
      <c r="C165">
        <f>MAX(0,(-B165+1/EXP((Data!$N$58*2.54)*(Data!$V$60+Data!$V$61*($A165/1000)+Data!$V$62*($A165/1000)^2+Data!$V$63*($A165/1000)^3+Data!$V$64*($A165/1000)^4+Data!$V$65*($A165/1000)^5+Data!$V$66*($A165/1000)^6+Data!$V$67*($A165/1000)^7))))</f>
        <v>0.68863655606850283</v>
      </c>
    </row>
    <row r="166" spans="1:3" x14ac:dyDescent="0.3">
      <c r="A166">
        <f>10.231819*(29979200000/1000000000)</f>
        <v>306.74174816480001</v>
      </c>
      <c r="B166">
        <v>3.8000000000000002E-4</v>
      </c>
      <c r="C166">
        <f>MAX(0,(-B166+1/EXP((Data!$N$58*2.54)*(Data!$V$60+Data!$V$61*($A166/1000)+Data!$V$62*($A166/1000)^2+Data!$V$63*($A166/1000)^3+Data!$V$64*($A166/1000)^4+Data!$V$65*($A166/1000)^5+Data!$V$66*($A166/1000)^6+Data!$V$67*($A166/1000)^7))))</f>
        <v>0.68745462389392509</v>
      </c>
    </row>
    <row r="167" spans="1:3" x14ac:dyDescent="0.3">
      <c r="A167">
        <f>10.282222*(29979200000/1000000000)</f>
        <v>308.25278978239999</v>
      </c>
      <c r="B167">
        <v>5.6999999999999998E-4</v>
      </c>
      <c r="C167">
        <f>MAX(0,(-B167+1/EXP((Data!$N$58*2.54)*(Data!$V$60+Data!$V$61*($A167/1000)+Data!$V$62*($A167/1000)^2+Data!$V$63*($A167/1000)^3+Data!$V$64*($A167/1000)^4+Data!$V$65*($A167/1000)^5+Data!$V$66*($A167/1000)^6+Data!$V$67*($A167/1000)^7))))</f>
        <v>0.68595889403302401</v>
      </c>
    </row>
    <row r="168" spans="1:3" x14ac:dyDescent="0.3">
      <c r="A168">
        <f>10.332625*(29979200000/1000000000)</f>
        <v>309.76383140000002</v>
      </c>
      <c r="B168">
        <v>5.4000000000000001E-4</v>
      </c>
      <c r="C168">
        <f>MAX(0,(-B168+1/EXP((Data!$N$58*2.54)*(Data!$V$60+Data!$V$61*($A168/1000)+Data!$V$62*($A168/1000)^2+Data!$V$63*($A168/1000)^3+Data!$V$64*($A168/1000)^4+Data!$V$65*($A168/1000)^5+Data!$V$66*($A168/1000)^6+Data!$V$67*($A168/1000)^7))))</f>
        <v>0.68468933784027175</v>
      </c>
    </row>
    <row r="169" spans="1:3" x14ac:dyDescent="0.3">
      <c r="A169">
        <f>10.383028*(29979200000/1000000000)</f>
        <v>311.27487301760004</v>
      </c>
      <c r="B169">
        <v>3.8000000000000002E-4</v>
      </c>
      <c r="C169">
        <f>MAX(0,(-B169+1/EXP((Data!$N$58*2.54)*(Data!$V$60+Data!$V$61*($A169/1000)+Data!$V$62*($A169/1000)^2+Data!$V$63*($A169/1000)^3+Data!$V$64*($A169/1000)^4+Data!$V$65*($A169/1000)^5+Data!$V$66*($A169/1000)^6+Data!$V$67*($A169/1000)^7))))</f>
        <v>0.68355592681560029</v>
      </c>
    </row>
    <row r="170" spans="1:3" x14ac:dyDescent="0.3">
      <c r="A170">
        <f>10.433431*(29979200000/1000000000)</f>
        <v>312.78591463520002</v>
      </c>
      <c r="B170">
        <v>6.9999999999999994E-5</v>
      </c>
      <c r="C170">
        <f>MAX(0,(-B170+1/EXP((Data!$N$58*2.54)*(Data!$V$60+Data!$V$61*($A170/1000)+Data!$V$62*($A170/1000)^2+Data!$V$63*($A170/1000)^3+Data!$V$64*($A170/1000)^4+Data!$V$65*($A170/1000)^5+Data!$V$66*($A170/1000)^6+Data!$V$67*($A170/1000)^7))))</f>
        <v>0.68257863260352369</v>
      </c>
    </row>
    <row r="171" spans="1:3" x14ac:dyDescent="0.3">
      <c r="A171">
        <f>10.483834*(29979200000/1000000000)</f>
        <v>314.29695625280004</v>
      </c>
      <c r="B171">
        <v>0</v>
      </c>
      <c r="C171">
        <f>MAX(0,(-B171+1/EXP((Data!$N$58*2.54)*(Data!$V$60+Data!$V$61*($A171/1000)+Data!$V$62*($A171/1000)^2+Data!$V$63*($A171/1000)^3+Data!$V$64*($A171/1000)^4+Data!$V$65*($A171/1000)^5+Data!$V$66*($A171/1000)^6+Data!$V$67*($A171/1000)^7))))</f>
        <v>0.68136742699226494</v>
      </c>
    </row>
    <row r="172" spans="1:3" x14ac:dyDescent="0.3">
      <c r="A172">
        <f>10.534237*(29979200000/1000000000)</f>
        <v>315.80799787040002</v>
      </c>
      <c r="B172">
        <v>2.4000000000000001E-4</v>
      </c>
      <c r="C172">
        <f>MAX(0,(-B172+1/EXP((Data!$N$58*2.54)*(Data!$V$60+Data!$V$61*($A172/1000)+Data!$V$62*($A172/1000)^2+Data!$V$63*($A172/1000)^3+Data!$V$64*($A172/1000)^4+Data!$V$65*($A172/1000)^5+Data!$V$66*($A172/1000)^6+Data!$V$67*($A172/1000)^7))))</f>
        <v>0.67985228191289027</v>
      </c>
    </row>
    <row r="173" spans="1:3" x14ac:dyDescent="0.3">
      <c r="A173">
        <f>10.58464*(29979200000/1000000000)</f>
        <v>317.31903948799999</v>
      </c>
      <c r="B173">
        <v>2.7E-4</v>
      </c>
      <c r="C173">
        <f>MAX(0,(-B173+1/EXP((Data!$N$58*2.54)*(Data!$V$60+Data!$V$61*($A173/1000)+Data!$V$62*($A173/1000)^2+Data!$V$63*($A173/1000)^3+Data!$V$64*($A173/1000)^4+Data!$V$65*($A173/1000)^5+Data!$V$66*($A173/1000)^6+Data!$V$67*($A173/1000)^7))))</f>
        <v>0.67855316943844668</v>
      </c>
    </row>
    <row r="174" spans="1:3" x14ac:dyDescent="0.3">
      <c r="A174">
        <f>10.635043*(29979200000/1000000000)</f>
        <v>318.83008110560002</v>
      </c>
      <c r="B174">
        <v>1.7000000000000001E-4</v>
      </c>
      <c r="C174">
        <f>MAX(0,(-B174+1/EXP((Data!$N$58*2.54)*(Data!$V$60+Data!$V$61*($A174/1000)+Data!$V$62*($A174/1000)^2+Data!$V$63*($A174/1000)^3+Data!$V$64*($A174/1000)^4+Data!$V$65*($A174/1000)^5+Data!$V$66*($A174/1000)^6+Data!$V$67*($A174/1000)^7))))</f>
        <v>0.67739006178310646</v>
      </c>
    </row>
    <row r="175" spans="1:3" x14ac:dyDescent="0.3">
      <c r="A175">
        <f>10.685446*(29979200000/1000000000)</f>
        <v>320.34112272319999</v>
      </c>
      <c r="B175">
        <v>3.4000000000000002E-4</v>
      </c>
      <c r="C175">
        <f>MAX(0,(-B175+1/EXP((Data!$N$58*2.54)*(Data!$V$60+Data!$V$61*($A175/1000)+Data!$V$62*($A175/1000)^2+Data!$V$63*($A175/1000)^3+Data!$V$64*($A175/1000)^4+Data!$V$65*($A175/1000)^5+Data!$V$66*($A175/1000)^6+Data!$V$67*($A175/1000)^7))))</f>
        <v>0.67596293130131646</v>
      </c>
    </row>
    <row r="176" spans="1:3" x14ac:dyDescent="0.3">
      <c r="A176">
        <f>10.735849*(29979200000/1000000000)</f>
        <v>321.85216434080002</v>
      </c>
      <c r="B176">
        <v>5.1000000000000004E-4</v>
      </c>
      <c r="C176">
        <f>MAX(0,(-B176+1/EXP((Data!$N$58*2.54)*(Data!$V$60+Data!$V$61*($A176/1000)+Data!$V$62*($A176/1000)^2+Data!$V$63*($A176/1000)^3+Data!$V$64*($A176/1000)^4+Data!$V$65*($A176/1000)^5+Data!$V$66*($A176/1000)^6+Data!$V$67*($A176/1000)^7))))</f>
        <v>0.67454175048695153</v>
      </c>
    </row>
    <row r="177" spans="1:3" x14ac:dyDescent="0.3">
      <c r="A177">
        <f>10.786252*(29979200000/1000000000)</f>
        <v>323.36320595840004</v>
      </c>
      <c r="B177">
        <v>6.4000000000000005E-4</v>
      </c>
      <c r="C177">
        <f>MAX(0,(-B177+1/EXP((Data!$N$58*2.54)*(Data!$V$60+Data!$V$61*($A177/1000)+Data!$V$62*($A177/1000)^2+Data!$V$63*($A177/1000)^3+Data!$V$64*($A177/1000)^4+Data!$V$65*($A177/1000)^5+Data!$V$66*($A177/1000)^6+Data!$V$67*($A177/1000)^7))))</f>
        <v>0.67316649197247613</v>
      </c>
    </row>
    <row r="178" spans="1:3" x14ac:dyDescent="0.3">
      <c r="A178">
        <f>10.836655*(29979200000/1000000000)</f>
        <v>324.87424757600002</v>
      </c>
      <c r="B178">
        <v>5.9000000000000003E-4</v>
      </c>
      <c r="C178">
        <f>MAX(0,(-B178+1/EXP((Data!$N$58*2.54)*(Data!$V$60+Data!$V$61*($A178/1000)+Data!$V$62*($A178/1000)^2+Data!$V$63*($A178/1000)^3+Data!$V$64*($A178/1000)^4+Data!$V$65*($A178/1000)^5+Data!$V$66*($A178/1000)^6+Data!$V$67*($A178/1000)^7))))</f>
        <v>0.67197712852810765</v>
      </c>
    </row>
    <row r="179" spans="1:3" x14ac:dyDescent="0.3">
      <c r="A179">
        <f>10.887058*(29979200000/1000000000)</f>
        <v>326.38528919360004</v>
      </c>
      <c r="B179">
        <v>3.6999999999999999E-4</v>
      </c>
      <c r="C179">
        <f>MAX(0,(-B179+1/EXP((Data!$N$58*2.54)*(Data!$V$60+Data!$V$61*($A179/1000)+Data!$V$62*($A179/1000)^2+Data!$V$63*($A179/1000)^3+Data!$V$64*($A179/1000)^4+Data!$V$65*($A179/1000)^5+Data!$V$66*($A179/1000)^6+Data!$V$67*($A179/1000)^7))))</f>
        <v>0.67096363306098805</v>
      </c>
    </row>
    <row r="180" spans="1:3" x14ac:dyDescent="0.3">
      <c r="A180">
        <f>10.937461*(29979200000/1000000000)</f>
        <v>327.89633081120002</v>
      </c>
      <c r="B180">
        <v>1.7000000000000001E-4</v>
      </c>
      <c r="C180">
        <f>MAX(0,(-B180+1/EXP((Data!$N$58*2.54)*(Data!$V$60+Data!$V$61*($A180/1000)+Data!$V$62*($A180/1000)^2+Data!$V$63*($A180/1000)^3+Data!$V$64*($A180/1000)^4+Data!$V$65*($A180/1000)^5+Data!$V$66*($A180/1000)^6+Data!$V$67*($A180/1000)^7))))</f>
        <v>0.66993597861435794</v>
      </c>
    </row>
    <row r="181" spans="1:3" x14ac:dyDescent="0.3">
      <c r="A181">
        <f>10.987864*(29979200000/1000000000)</f>
        <v>329.40737242880004</v>
      </c>
      <c r="B181">
        <v>5.0000000000000002E-5</v>
      </c>
      <c r="C181">
        <f>MAX(0,(-B181+1/EXP((Data!$N$58*2.54)*(Data!$V$60+Data!$V$61*($A181/1000)+Data!$V$62*($A181/1000)^2+Data!$V$63*($A181/1000)^3+Data!$V$64*($A181/1000)^4+Data!$V$65*($A181/1000)^5+Data!$V$66*($A181/1000)^6+Data!$V$67*($A181/1000)^7))))</f>
        <v>0.66883413836673788</v>
      </c>
    </row>
    <row r="182" spans="1:3" x14ac:dyDescent="0.3">
      <c r="A182">
        <f>11.038267*(29979200000/1000000000)</f>
        <v>330.91841404640002</v>
      </c>
      <c r="B182">
        <v>0</v>
      </c>
      <c r="C182">
        <f>MAX(0,(-B182+1/EXP((Data!$N$58*2.54)*(Data!$V$60+Data!$V$61*($A182/1000)+Data!$V$62*($A182/1000)^2+Data!$V$63*($A182/1000)^3+Data!$V$64*($A182/1000)^4+Data!$V$65*($A182/1000)^5+Data!$V$66*($A182/1000)^6+Data!$V$67*($A182/1000)^7))))</f>
        <v>0.66766808563111357</v>
      </c>
    </row>
    <row r="183" spans="1:3" x14ac:dyDescent="0.3">
      <c r="A183">
        <v>400</v>
      </c>
      <c r="B183">
        <v>0</v>
      </c>
      <c r="C183">
        <f>MAX(0,(-B183+1/EXP((Data!$N$58*2.54)*(Data!$V$60+Data!$V$61*($A183/1000)+Data!$V$62*($A183/1000)^2+Data!$V$63*($A183/1000)^3+Data!$V$64*($A183/1000)^4+Data!$V$65*($A183/1000)^5+Data!$V$66*($A183/1000)^6+Data!$V$67*($A183/1000)^7))))</f>
        <v>0.61782627401621015</v>
      </c>
    </row>
    <row r="184" spans="1:3" x14ac:dyDescent="0.3">
      <c r="A184">
        <v>450</v>
      </c>
      <c r="B184">
        <v>0</v>
      </c>
      <c r="C184">
        <f>MAX(0,(-B184+1/EXP((Data!$N$58*2.54)*(Data!$V$60+Data!$V$61*($A184/1000)+Data!$V$62*($A184/1000)^2+Data!$V$63*($A184/1000)^3+Data!$V$64*($A184/1000)^4+Data!$V$65*($A184/1000)^5+Data!$V$66*($A184/1000)^6+Data!$V$67*($A184/1000)^7))))</f>
        <v>0.58798489830183842</v>
      </c>
    </row>
    <row r="185" spans="1:3" x14ac:dyDescent="0.3">
      <c r="A185">
        <v>500</v>
      </c>
      <c r="B185">
        <v>0</v>
      </c>
      <c r="C185">
        <f>MAX(0,(-B185+1/EXP((Data!$N$58*2.54)*(Data!$V$60+Data!$V$61*($A185/1000)+Data!$V$62*($A185/1000)^2+Data!$V$63*($A185/1000)^3+Data!$V$64*($A185/1000)^4+Data!$V$65*($A185/1000)^5+Data!$V$66*($A185/1000)^6+Data!$V$67*($A185/1000)^7))))</f>
        <v>0.56256204122010267</v>
      </c>
    </row>
    <row r="186" spans="1:3" x14ac:dyDescent="0.3">
      <c r="A186">
        <v>550</v>
      </c>
      <c r="B186">
        <v>0</v>
      </c>
      <c r="C186">
        <f>MAX(0,(-B186+1/EXP((Data!$N$58*2.54)*(Data!$V$60+Data!$V$61*($A186/1000)+Data!$V$62*($A186/1000)^2+Data!$V$63*($A186/1000)^3+Data!$V$64*($A186/1000)^4+Data!$V$65*($A186/1000)^5+Data!$V$66*($A186/1000)^6+Data!$V$67*($A186/1000)^7))))</f>
        <v>0.54094485346810139</v>
      </c>
    </row>
    <row r="187" spans="1:3" x14ac:dyDescent="0.3">
      <c r="A187">
        <v>600</v>
      </c>
      <c r="B187">
        <v>0</v>
      </c>
      <c r="C187">
        <f>MAX(0,(-B187+1/EXP((Data!$N$58*2.54)*(Data!$V$60+Data!$V$61*($A187/1000)+Data!$V$62*($A187/1000)^2+Data!$V$63*($A187/1000)^3+Data!$V$64*($A187/1000)^4+Data!$V$65*($A187/1000)^5+Data!$V$66*($A187/1000)^6+Data!$V$67*($A187/1000)^7))))</f>
        <v>0.52260199696383824</v>
      </c>
    </row>
    <row r="188" spans="1:3" x14ac:dyDescent="0.3">
      <c r="A188">
        <v>650</v>
      </c>
      <c r="B188">
        <v>0</v>
      </c>
      <c r="C188">
        <f>MAX(0,(-B188+1/EXP((Data!$N$58*2.54)*(Data!$V$60+Data!$V$61*($A188/1000)+Data!$V$62*($A188/1000)^2+Data!$V$63*($A188/1000)^3+Data!$V$64*($A188/1000)^4+Data!$V$65*($A188/1000)^5+Data!$V$66*($A188/1000)^6+Data!$V$67*($A188/1000)^7))))</f>
        <v>0.50706871910975804</v>
      </c>
    </row>
    <row r="189" spans="1:3" x14ac:dyDescent="0.3">
      <c r="A189">
        <v>700</v>
      </c>
      <c r="B189">
        <v>0</v>
      </c>
      <c r="C189">
        <f>MAX(0,(-B189+1/EXP((Data!$N$58*2.54)*(Data!$V$60+Data!$V$61*($A189/1000)+Data!$V$62*($A189/1000)^2+Data!$V$63*($A189/1000)^3+Data!$V$64*($A189/1000)^4+Data!$V$65*($A189/1000)^5+Data!$V$66*($A189/1000)^6+Data!$V$67*($A189/1000)^7))))</f>
        <v>0.49393463103712415</v>
      </c>
    </row>
    <row r="190" spans="1:3" x14ac:dyDescent="0.3">
      <c r="A190">
        <v>750</v>
      </c>
      <c r="B190">
        <v>0</v>
      </c>
      <c r="C190">
        <f>MAX(0,(-B190+1/EXP((Data!$N$58*2.54)*(Data!$V$60+Data!$V$61*($A190/1000)+Data!$V$62*($A190/1000)^2+Data!$V$63*($A190/1000)^3+Data!$V$64*($A190/1000)^4+Data!$V$65*($A190/1000)^5+Data!$V$66*($A190/1000)^6+Data!$V$67*($A190/1000)^7))))</f>
        <v>0.48283380095150197</v>
      </c>
    </row>
    <row r="191" spans="1:3" x14ac:dyDescent="0.3">
      <c r="A191">
        <v>800</v>
      </c>
      <c r="B191">
        <v>0</v>
      </c>
      <c r="C191">
        <f>MAX(0,(-B191+1/EXP((Data!$N$58*2.54)*(Data!$V$60+Data!$V$61*($A191/1000)+Data!$V$62*($A191/1000)^2+Data!$V$63*($A191/1000)^3+Data!$V$64*($A191/1000)^4+Data!$V$65*($A191/1000)^5+Data!$V$66*($A191/1000)^6+Data!$V$67*($A191/1000)^7))))</f>
        <v>0.47343686729189666</v>
      </c>
    </row>
    <row r="192" spans="1:3" x14ac:dyDescent="0.3">
      <c r="A192">
        <v>850</v>
      </c>
      <c r="B192">
        <v>0</v>
      </c>
      <c r="C192">
        <f>MAX(0,(-B192+1/EXP((Data!$N$58*2.54)*(Data!$V$60+Data!$V$61*($A192/1000)+Data!$V$62*($A192/1000)^2+Data!$V$63*($A192/1000)^3+Data!$V$64*($A192/1000)^4+Data!$V$65*($A192/1000)^5+Data!$V$66*($A192/1000)^6+Data!$V$67*($A192/1000)^7))))</f>
        <v>0.46544494275440429</v>
      </c>
    </row>
    <row r="193" spans="1:3" x14ac:dyDescent="0.3">
      <c r="A193">
        <v>900</v>
      </c>
      <c r="B193">
        <v>0</v>
      </c>
      <c r="C193">
        <f>MAX(0,(-B193+1/EXP((Data!$N$58*2.54)*(Data!$V$60+Data!$V$61*($A193/1000)+Data!$V$62*($A193/1000)^2+Data!$V$63*($A193/1000)^3+Data!$V$64*($A193/1000)^4+Data!$V$65*($A193/1000)^5+Data!$V$66*($A193/1000)^6+Data!$V$67*($A193/1000)^7))))</f>
        <v>0.45858512336730145</v>
      </c>
    </row>
    <row r="194" spans="1:3" x14ac:dyDescent="0.3">
      <c r="A194">
        <v>950</v>
      </c>
      <c r="B194">
        <v>0</v>
      </c>
      <c r="C194">
        <f>MAX(0,(-B194+1/EXP((Data!$N$58*2.54)*(Data!$V$60+Data!$V$61*($A194/1000)+Data!$V$62*($A194/1000)^2+Data!$V$63*($A194/1000)^3+Data!$V$64*($A194/1000)^4+Data!$V$65*($A194/1000)^5+Data!$V$66*($A194/1000)^6+Data!$V$67*($A194/1000)^7))))</f>
        <v>0.45260743960166794</v>
      </c>
    </row>
    <row r="195" spans="1:3" x14ac:dyDescent="0.3">
      <c r="A195">
        <v>1000</v>
      </c>
      <c r="B195">
        <v>0</v>
      </c>
      <c r="C195">
        <f>MAX(0,(-B195+1/EXP((Data!$N$58*2.54)*(Data!$V$60+Data!$V$61*($A195/1000)+Data!$V$62*($A195/1000)^2+Data!$V$63*($A195/1000)^3+Data!$V$64*($A195/1000)^4+Data!$V$65*($A195/1000)^5+Data!$V$66*($A195/1000)^6+Data!$V$67*($A195/1000)^7))))</f>
        <v>0.44728309153036566</v>
      </c>
    </row>
    <row r="196" spans="1:3" x14ac:dyDescent="0.3">
      <c r="A196">
        <v>1100</v>
      </c>
      <c r="B196">
        <v>0</v>
      </c>
      <c r="C196">
        <f>MAX(0,(-B196+1/EXP((Data!$N$58*2.54)*(Data!$V$60+Data!$V$61*($A196/1000)+Data!$V$62*($A196/1000)^2+Data!$V$63*($A196/1000)^3+Data!$V$64*($A196/1000)^4+Data!$V$65*($A196/1000)^5+Data!$V$66*($A196/1000)^6+Data!$V$67*($A196/1000)^7))))</f>
        <v>0.43778208726481149</v>
      </c>
    </row>
    <row r="197" spans="1:3" x14ac:dyDescent="0.3">
      <c r="A197">
        <v>1200</v>
      </c>
      <c r="B197">
        <v>0</v>
      </c>
      <c r="C197">
        <f>MAX(0,(-B197+1/EXP((Data!$N$58*2.54)*(Data!$V$60+Data!$V$61*($A197/1000)+Data!$V$62*($A197/1000)^2+Data!$V$63*($A197/1000)^3+Data!$V$64*($A197/1000)^4+Data!$V$65*($A197/1000)^5+Data!$V$66*($A197/1000)^6+Data!$V$67*($A197/1000)^7))))</f>
        <v>0.42867190411961359</v>
      </c>
    </row>
    <row r="198" spans="1:3" x14ac:dyDescent="0.3">
      <c r="A198">
        <v>1300</v>
      </c>
      <c r="B198">
        <v>0</v>
      </c>
      <c r="C198">
        <f>MAX(0,(-B198+1/EXP((Data!$N$58*2.54)*(Data!$V$60+Data!$V$61*($A198/1000)+Data!$V$62*($A198/1000)^2+Data!$V$63*($A198/1000)^3+Data!$V$64*($A198/1000)^4+Data!$V$65*($A198/1000)^5+Data!$V$66*($A198/1000)^6+Data!$V$67*($A198/1000)^7))))</f>
        <v>0.41891605315029418</v>
      </c>
    </row>
    <row r="199" spans="1:3" x14ac:dyDescent="0.3">
      <c r="A199">
        <v>1400</v>
      </c>
      <c r="B199">
        <v>0</v>
      </c>
      <c r="C199">
        <f>MAX(0,(-B199+1/EXP((Data!$N$58*2.54)*(Data!$V$60+Data!$V$61*($A199/1000)+Data!$V$62*($A199/1000)^2+Data!$V$63*($A199/1000)^3+Data!$V$64*($A199/1000)^4+Data!$V$65*($A199/1000)^5+Data!$V$66*($A199/1000)^6+Data!$V$67*($A199/1000)^7))))</f>
        <v>0.40789993946481556</v>
      </c>
    </row>
    <row r="200" spans="1:3" x14ac:dyDescent="0.3">
      <c r="A200">
        <v>1500</v>
      </c>
      <c r="B200">
        <v>0</v>
      </c>
      <c r="C200">
        <f>MAX(0,(-B200+1/EXP((Data!$N$58*2.54)*(Data!$V$60+Data!$V$61*($A200/1000)+Data!$V$62*($A200/1000)^2+Data!$V$63*($A200/1000)^3+Data!$V$64*($A200/1000)^4+Data!$V$65*($A200/1000)^5+Data!$V$66*($A200/1000)^6+Data!$V$67*($A200/1000)^7))))</f>
        <v>0.39545962474264573</v>
      </c>
    </row>
    <row r="201" spans="1:3" x14ac:dyDescent="0.3">
      <c r="A201">
        <v>1600</v>
      </c>
      <c r="B201">
        <v>0</v>
      </c>
      <c r="C201">
        <f>MAX(0,(-B201+1/EXP((Data!$N$58*2.54)*(Data!$V$60+Data!$V$61*($A201/1000)+Data!$V$62*($A201/1000)^2+Data!$V$63*($A201/1000)^3+Data!$V$64*($A201/1000)^4+Data!$V$65*($A201/1000)^5+Data!$V$66*($A201/1000)^6+Data!$V$67*($A201/1000)^7))))</f>
        <v>0.38186643291420996</v>
      </c>
    </row>
    <row r="202" spans="1:3" x14ac:dyDescent="0.3">
      <c r="A202">
        <v>1700</v>
      </c>
      <c r="B202">
        <v>0</v>
      </c>
      <c r="C202">
        <f>MAX(0,(-B202+1/EXP((Data!$N$58*2.54)*(Data!$V$60+Data!$V$61*($A202/1000)+Data!$V$62*($A202/1000)^2+Data!$V$63*($A202/1000)^3+Data!$V$64*($A202/1000)^4+Data!$V$65*($A202/1000)^5+Data!$V$66*($A202/1000)^6+Data!$V$67*($A202/1000)^7))))</f>
        <v>0.36775848631249325</v>
      </c>
    </row>
    <row r="203" spans="1:3" x14ac:dyDescent="0.3">
      <c r="A203">
        <v>1800</v>
      </c>
      <c r="B203">
        <v>0</v>
      </c>
      <c r="C203">
        <f>MAX(0,(-B203+1/EXP((Data!$N$58*2.54)*(Data!$V$60+Data!$V$61*($A203/1000)+Data!$V$62*($A203/1000)^2+Data!$V$63*($A203/1000)^3+Data!$V$64*($A203/1000)^4+Data!$V$65*($A203/1000)^5+Data!$V$66*($A203/1000)^6+Data!$V$67*($A203/1000)^7))))</f>
        <v>0.35402883113632089</v>
      </c>
    </row>
    <row r="204" spans="1:3" x14ac:dyDescent="0.3">
      <c r="A204">
        <v>1900</v>
      </c>
      <c r="B204">
        <v>0</v>
      </c>
      <c r="C204">
        <f>MAX(0,(-B204+1/EXP((Data!$N$58*2.54)*(Data!$V$60+Data!$V$61*($A204/1000)+Data!$V$62*($A204/1000)^2+Data!$V$63*($A204/1000)^3+Data!$V$64*($A204/1000)^4+Data!$V$65*($A204/1000)^5+Data!$V$66*($A204/1000)^6+Data!$V$67*($A204/1000)^7))))</f>
        <v>0.34169290864449481</v>
      </c>
    </row>
    <row r="205" spans="1:3" x14ac:dyDescent="0.3">
      <c r="A205">
        <v>2000</v>
      </c>
      <c r="B205">
        <v>0</v>
      </c>
      <c r="C205">
        <f>MAX(0,(-B205+1/EXP((Data!$N$58*2.54)*(Data!$V$60+Data!$V$61*($A205/1000)+Data!$V$62*($A205/1000)^2+Data!$V$63*($A205/1000)^3+Data!$V$64*($A205/1000)^4+Data!$V$65*($A205/1000)^5+Data!$V$66*($A205/1000)^6+Data!$V$67*($A205/1000)^7))))</f>
        <v>0.3317592029714333</v>
      </c>
    </row>
    <row r="206" spans="1:3" x14ac:dyDescent="0.3">
      <c r="A206">
        <v>2100</v>
      </c>
      <c r="B206">
        <v>0</v>
      </c>
      <c r="C206">
        <f>MAX(0,(-B206+1/EXP((Data!$N$58*2.54)*(Data!$V$60+Data!$V$61*($A206/1000)+Data!$V$62*($A206/1000)^2+Data!$V$63*($A206/1000)^3+Data!$V$64*($A206/1000)^4+Data!$V$65*($A206/1000)^5+Data!$V$66*($A206/1000)^6+Data!$V$67*($A206/1000)^7))))</f>
        <v>0.32511422243436972</v>
      </c>
    </row>
    <row r="207" spans="1:3" x14ac:dyDescent="0.3">
      <c r="A207">
        <v>2200</v>
      </c>
      <c r="B207">
        <v>0</v>
      </c>
      <c r="C207">
        <f>MAX(0,(-B207+1/EXP((Data!$N$58*2.54)*(Data!$V$60+Data!$V$61*($A207/1000)+Data!$V$62*($A207/1000)^2+Data!$V$63*($A207/1000)^3+Data!$V$64*($A207/1000)^4+Data!$V$65*($A207/1000)^5+Data!$V$66*($A207/1000)^6+Data!$V$67*($A207/1000)^7))))</f>
        <v>0.32240933369491709</v>
      </c>
    </row>
    <row r="208" spans="1:3" x14ac:dyDescent="0.3">
      <c r="A208">
        <v>2300</v>
      </c>
      <c r="B208">
        <v>0</v>
      </c>
      <c r="C208">
        <f>MAX(0,(-B208+1/EXP((Data!$N$58*2.54)*(Data!$V$60+Data!$V$61*($A208/1000)+Data!$V$62*($A208/1000)^2+Data!$V$63*($A208/1000)^3+Data!$V$64*($A208/1000)^4+Data!$V$65*($A208/1000)^5+Data!$V$66*($A208/1000)^6+Data!$V$67*($A208/1000)^7))))</f>
        <v>0.3239070020391282</v>
      </c>
    </row>
    <row r="209" spans="1:3" x14ac:dyDescent="0.3">
      <c r="A209">
        <v>2400</v>
      </c>
      <c r="B209">
        <v>0</v>
      </c>
      <c r="C209">
        <f>MAX(0,(-B209+1/EXP((Data!$N$58*2.54)*(Data!$V$60+Data!$V$61*($A209/1000)+Data!$V$62*($A209/1000)^2+Data!$V$63*($A209/1000)^3+Data!$V$64*($A209/1000)^4+Data!$V$65*($A209/1000)^5+Data!$V$66*($A209/1000)^6+Data!$V$67*($A209/1000)^7))))</f>
        <v>0.32921375924035506</v>
      </c>
    </row>
    <row r="210" spans="1:3" x14ac:dyDescent="0.3">
      <c r="A210">
        <v>2500</v>
      </c>
      <c r="B210">
        <v>0</v>
      </c>
      <c r="C210">
        <f>MAX(0,(-B210+1/EXP((Data!$N$58*2.54)*(Data!$V$60+Data!$V$61*($A210/1000)+Data!$V$62*($A210/1000)^2+Data!$V$63*($A210/1000)^3+Data!$V$64*($A210/1000)^4+Data!$V$65*($A210/1000)^5+Data!$V$66*($A210/1000)^6+Data!$V$67*($A210/1000)^7))))</f>
        <v>0.33681286748853767</v>
      </c>
    </row>
    <row r="211" spans="1:3" x14ac:dyDescent="0.3">
      <c r="A211">
        <v>2600</v>
      </c>
      <c r="B211">
        <v>0</v>
      </c>
      <c r="C211">
        <f>MAX(0,(-B211+1/EXP((Data!$N$58*2.54)*(Data!$V$60+Data!$V$61*($A211/1000)+Data!$V$62*($A211/1000)^2+Data!$V$63*($A211/1000)^3+Data!$V$64*($A211/1000)^4+Data!$V$65*($A211/1000)^5+Data!$V$66*($A211/1000)^6+Data!$V$67*($A211/1000)^7))))</f>
        <v>0.3433620977885074</v>
      </c>
    </row>
    <row r="212" spans="1:3" x14ac:dyDescent="0.3">
      <c r="A212">
        <v>2700</v>
      </c>
      <c r="B212">
        <v>0</v>
      </c>
      <c r="C212">
        <f>MAX(0,(-B212+1/EXP((Data!$N$58*2.54)*(Data!$V$60+Data!$V$61*($A212/1000)+Data!$V$62*($A212/1000)^2+Data!$V$63*($A212/1000)^3+Data!$V$64*($A212/1000)^4+Data!$V$65*($A212/1000)^5+Data!$V$66*($A212/1000)^6+Data!$V$67*($A212/1000)^7))))</f>
        <v>0.34296186697046077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1"/>
  <sheetViews>
    <sheetView tabSelected="1" workbookViewId="0">
      <selection activeCell="A120" sqref="A120"/>
    </sheetView>
  </sheetViews>
  <sheetFormatPr defaultRowHeight="14.4" x14ac:dyDescent="0.3"/>
  <sheetData>
    <row r="1" spans="1:3" x14ac:dyDescent="0.3">
      <c r="A1" t="s">
        <v>4</v>
      </c>
    </row>
    <row r="2" spans="1:3" x14ac:dyDescent="0.3">
      <c r="A2" t="s">
        <v>52</v>
      </c>
      <c r="B2" t="s">
        <v>59</v>
      </c>
      <c r="C2" t="s">
        <v>60</v>
      </c>
    </row>
    <row r="3" spans="1:3" x14ac:dyDescent="0.3">
      <c r="A3">
        <f>2.01613*(29979200000/1000000000)</f>
        <v>60.441964495999997</v>
      </c>
      <c r="B3">
        <v>0.98668</v>
      </c>
      <c r="C3">
        <f>1-B3</f>
        <v>1.3319999999999999E-2</v>
      </c>
    </row>
    <row r="4" spans="1:3" x14ac:dyDescent="0.3">
      <c r="A4">
        <f>2.066533*(29979200000/1000000000)</f>
        <v>61.953006113600004</v>
      </c>
      <c r="B4">
        <v>0.92947000000000002</v>
      </c>
      <c r="C4">
        <f t="shared" ref="C4:C6" si="0">1-B4</f>
        <v>7.0529999999999982E-2</v>
      </c>
    </row>
    <row r="5" spans="1:3" x14ac:dyDescent="0.3">
      <c r="A5">
        <f>2.116936*(29979200000/1000000000)</f>
        <v>63.464047731199997</v>
      </c>
      <c r="B5">
        <v>0.90790999999999999</v>
      </c>
      <c r="C5">
        <f t="shared" si="0"/>
        <v>9.2090000000000005E-2</v>
      </c>
    </row>
    <row r="6" spans="1:3" x14ac:dyDescent="0.3">
      <c r="A6">
        <f>2.167339*(29979200000/1000000000)</f>
        <v>64.975089348799997</v>
      </c>
      <c r="B6">
        <v>0.87372000000000005</v>
      </c>
      <c r="C6">
        <f t="shared" si="0"/>
        <v>0.12627999999999995</v>
      </c>
    </row>
    <row r="7" spans="1:3" x14ac:dyDescent="0.3">
      <c r="A7">
        <f>2.217742*(29979200000/1000000000)</f>
        <v>66.486130966399998</v>
      </c>
      <c r="B7">
        <v>0.89217999999999997</v>
      </c>
      <c r="C7">
        <f>MAX(0,(-B7+1/EXP((Data!$M$58*2.54)*(Data!$V$60+Data!$V$61*($A7/1000)+Data!$V$62*($A7/1000)^2+Data!$V$63*($A7/1000)^3+Data!$V$64*($A7/1000)^4+Data!$V$65*($A7/1000)^5+Data!$V$66*($A7/1000)^6+Data!$V$67*($A7/1000)^7))))</f>
        <v>0.10630167031897075</v>
      </c>
    </row>
    <row r="8" spans="1:3" x14ac:dyDescent="0.3">
      <c r="A8">
        <f>2.268145*(29979200000/1000000000)</f>
        <v>67.997172583999998</v>
      </c>
      <c r="B8">
        <v>0.91624000000000005</v>
      </c>
      <c r="C8">
        <f>MAX(0,(-B8+1/EXP((Data!$M$58*2.54)*(Data!$V$60+Data!$V$61*($A8/1000)+Data!$V$62*($A8/1000)^2+Data!$V$63*($A8/1000)^3+Data!$V$64*($A8/1000)^4+Data!$V$65*($A8/1000)^5+Data!$V$66*($A8/1000)^6+Data!$V$67*($A8/1000)^7))))</f>
        <v>7.9641574734921283E-2</v>
      </c>
    </row>
    <row r="9" spans="1:3" x14ac:dyDescent="0.3">
      <c r="A9">
        <f>2.318548*(29979200000/1000000000)</f>
        <v>69.508214201599998</v>
      </c>
      <c r="B9">
        <v>0.81667999999999996</v>
      </c>
      <c r="C9">
        <f>MAX(0,(-B9+1/EXP((Data!$M$58*2.54)*(Data!$V$60+Data!$V$61*($A9/1000)+Data!$V$62*($A9/1000)^2+Data!$V$63*($A9/1000)^3+Data!$V$64*($A9/1000)^4+Data!$V$65*($A9/1000)^5+Data!$V$66*($A9/1000)^6+Data!$V$67*($A9/1000)^7))))</f>
        <v>0.17661349536389004</v>
      </c>
    </row>
    <row r="10" spans="1:3" x14ac:dyDescent="0.3">
      <c r="A10">
        <f>2.368951*(29979200000/1000000000)</f>
        <v>71.019255819199998</v>
      </c>
      <c r="B10">
        <v>0.85785999999999996</v>
      </c>
      <c r="C10">
        <f>MAX(0,(-B10+1/EXP((Data!$M$58*2.54)*(Data!$V$60+Data!$V$61*($A10/1000)+Data!$V$62*($A10/1000)^2+Data!$V$63*($A10/1000)^3+Data!$V$64*($A10/1000)^4+Data!$V$65*($A10/1000)^5+Data!$V$66*($A10/1000)^6+Data!$V$67*($A10/1000)^7))))</f>
        <v>0.13285737399537789</v>
      </c>
    </row>
    <row r="11" spans="1:3" x14ac:dyDescent="0.3">
      <c r="A11">
        <f>2.419354*(29979200000/1000000000)</f>
        <v>72.530297436799998</v>
      </c>
      <c r="B11">
        <v>0.94057000000000002</v>
      </c>
      <c r="C11">
        <f>MAX(0,(-B11+1/EXP((Data!$M$58*2.54)*(Data!$V$60+Data!$V$61*($A11/1000)+Data!$V$62*($A11/1000)^2+Data!$V$63*($A11/1000)^3+Data!$V$64*($A11/1000)^4+Data!$V$65*($A11/1000)^5+Data!$V$66*($A11/1000)^6+Data!$V$67*($A11/1000)^7))))</f>
        <v>4.7583152743279955E-2</v>
      </c>
    </row>
    <row r="12" spans="1:3" x14ac:dyDescent="0.3">
      <c r="A12">
        <f>2.469757*(29979200000/1000000000)</f>
        <v>74.041339054399998</v>
      </c>
      <c r="B12">
        <v>0.96392999999999995</v>
      </c>
      <c r="C12">
        <f>MAX(0,(-B12+1/EXP((Data!$M$58*2.54)*(Data!$V$60+Data!$V$61*($A12/1000)+Data!$V$62*($A12/1000)^2+Data!$V$63*($A12/1000)^3+Data!$V$64*($A12/1000)^4+Data!$V$65*($A12/1000)^5+Data!$V$66*($A12/1000)^6+Data!$V$67*($A12/1000)^7))))</f>
        <v>2.1670774043756724E-2</v>
      </c>
    </row>
    <row r="13" spans="1:3" x14ac:dyDescent="0.3">
      <c r="A13">
        <f>2.52016*(29979200000/1000000000)</f>
        <v>75.552380671999984</v>
      </c>
      <c r="B13">
        <v>0.95033000000000001</v>
      </c>
      <c r="C13">
        <f>MAX(0,(-B13+1/EXP((Data!$M$58*2.54)*(Data!$V$60+Data!$V$61*($A13/1000)+Data!$V$62*($A13/1000)^2+Data!$V$63*($A13/1000)^3+Data!$V$64*($A13/1000)^4+Data!$V$65*($A13/1000)^5+Data!$V$66*($A13/1000)^6+Data!$V$67*($A13/1000)^7))))</f>
        <v>3.273018065312383E-2</v>
      </c>
    </row>
    <row r="14" spans="1:3" x14ac:dyDescent="0.3">
      <c r="A14">
        <f>2.570563*(29979200000/1000000000)</f>
        <v>77.063422289599998</v>
      </c>
      <c r="B14">
        <v>0.95506000000000002</v>
      </c>
      <c r="C14">
        <f>MAX(0,(-B14+1/EXP((Data!$M$58*2.54)*(Data!$V$60+Data!$V$61*($A14/1000)+Data!$V$62*($A14/1000)^2+Data!$V$63*($A14/1000)^3+Data!$V$64*($A14/1000)^4+Data!$V$65*($A14/1000)^5+Data!$V$66*($A14/1000)^6+Data!$V$67*($A14/1000)^7))))</f>
        <v>2.5471315645757886E-2</v>
      </c>
    </row>
    <row r="15" spans="1:3" x14ac:dyDescent="0.3">
      <c r="A15">
        <f>2.620966*(29979200000/1000000000)</f>
        <v>78.574463907199998</v>
      </c>
      <c r="B15">
        <v>0.94035000000000002</v>
      </c>
      <c r="C15">
        <f>MAX(0,(-B15+1/EXP((Data!$M$58*2.54)*(Data!$V$60+Data!$V$61*($A15/1000)+Data!$V$62*($A15/1000)^2+Data!$V$63*($A15/1000)^3+Data!$V$64*($A15/1000)^4+Data!$V$65*($A15/1000)^5+Data!$V$66*($A15/1000)^6+Data!$V$67*($A15/1000)^7))))</f>
        <v>3.7664122412018108E-2</v>
      </c>
    </row>
    <row r="16" spans="1:3" x14ac:dyDescent="0.3">
      <c r="A16">
        <f>2.671369*(29979200000/1000000000)</f>
        <v>80.085505524799999</v>
      </c>
      <c r="B16">
        <v>0.9889</v>
      </c>
      <c r="C16">
        <f>MAX(0,(-B16+1/EXP((Data!$M$58*2.54)*(Data!$V$60+Data!$V$61*($A16/1000)+Data!$V$62*($A16/1000)^2+Data!$V$63*($A16/1000)^3+Data!$V$64*($A16/1000)^4+Data!$V$65*($A16/1000)^5+Data!$V$66*($A16/1000)^6+Data!$V$67*($A16/1000)^7))))</f>
        <v>0</v>
      </c>
    </row>
    <row r="17" spans="1:3" x14ac:dyDescent="0.3">
      <c r="A17">
        <f>2.721772*(29979200000/1000000000)</f>
        <v>81.596547142399999</v>
      </c>
      <c r="B17">
        <v>0.99438000000000004</v>
      </c>
      <c r="C17">
        <f>MAX(0,(-B17+1/EXP((Data!$M$58*2.54)*(Data!$V$60+Data!$V$61*($A17/1000)+Data!$V$62*($A17/1000)^2+Data!$V$63*($A17/1000)^3+Data!$V$64*($A17/1000)^4+Data!$V$65*($A17/1000)^5+Data!$V$66*($A17/1000)^6+Data!$V$67*($A17/1000)^7))))</f>
        <v>0</v>
      </c>
    </row>
    <row r="18" spans="1:3" x14ac:dyDescent="0.3">
      <c r="A18">
        <f>2.772175*(29979200000/1000000000)</f>
        <v>83.107588759999985</v>
      </c>
      <c r="B18">
        <v>0.97175999999999996</v>
      </c>
      <c r="C18">
        <f>MAX(0,(-B18+1/EXP((Data!$M$58*2.54)*(Data!$V$60+Data!$V$61*($A18/1000)+Data!$V$62*($A18/1000)^2+Data!$V$63*($A18/1000)^3+Data!$V$64*($A18/1000)^4+Data!$V$65*($A18/1000)^5+Data!$V$66*($A18/1000)^6+Data!$V$67*($A18/1000)^7))))</f>
        <v>0</v>
      </c>
    </row>
    <row r="19" spans="1:3" x14ac:dyDescent="0.3">
      <c r="A19">
        <f>2.822578*(29979200000/1000000000)</f>
        <v>84.618630377599999</v>
      </c>
      <c r="B19">
        <v>0.92830999999999997</v>
      </c>
      <c r="C19">
        <f>MAX(0,(-B19+1/EXP((Data!$M$58*2.54)*(Data!$V$60+Data!$V$61*($A19/1000)+Data!$V$62*($A19/1000)^2+Data!$V$63*($A19/1000)^3+Data!$V$64*($A19/1000)^4+Data!$V$65*($A19/1000)^5+Data!$V$66*($A19/1000)^6+Data!$V$67*($A19/1000)^7))))</f>
        <v>3.9750945964862727E-2</v>
      </c>
    </row>
    <row r="20" spans="1:3" x14ac:dyDescent="0.3">
      <c r="A20">
        <f>2.872981*(29979200000/1000000000)</f>
        <v>86.129671995199999</v>
      </c>
      <c r="B20">
        <v>0.92854000000000003</v>
      </c>
      <c r="C20">
        <f>MAX(0,(-B20+1/EXP((Data!$M$58*2.54)*(Data!$V$60+Data!$V$61*($A20/1000)+Data!$V$62*($A20/1000)^2+Data!$V$63*($A20/1000)^3+Data!$V$64*($A20/1000)^4+Data!$V$65*($A20/1000)^5+Data!$V$66*($A20/1000)^6+Data!$V$67*($A20/1000)^7))))</f>
        <v>3.7061273370578296E-2</v>
      </c>
    </row>
    <row r="21" spans="1:3" x14ac:dyDescent="0.3">
      <c r="A21">
        <f>2.923384*(29979200000/1000000000)</f>
        <v>87.640713612799999</v>
      </c>
      <c r="B21">
        <v>0.93059000000000003</v>
      </c>
      <c r="C21">
        <f>MAX(0,(-B21+1/EXP((Data!$M$58*2.54)*(Data!$V$60+Data!$V$61*($A21/1000)+Data!$V$62*($A21/1000)^2+Data!$V$63*($A21/1000)^3+Data!$V$64*($A21/1000)^4+Data!$V$65*($A21/1000)^5+Data!$V$66*($A21/1000)^6+Data!$V$67*($A21/1000)^7))))</f>
        <v>3.256293941334587E-2</v>
      </c>
    </row>
    <row r="22" spans="1:3" x14ac:dyDescent="0.3">
      <c r="A22">
        <f>2.973787*(29979200000/1000000000)</f>
        <v>89.151755230399999</v>
      </c>
      <c r="B22">
        <v>0.90222000000000002</v>
      </c>
      <c r="C22">
        <f>MAX(0,(-B22+1/EXP((Data!$M$58*2.54)*(Data!$V$60+Data!$V$61*($A22/1000)+Data!$V$62*($A22/1000)^2+Data!$V$63*($A22/1000)^3+Data!$V$64*($A22/1000)^4+Data!$V$65*($A22/1000)^5+Data!$V$66*($A22/1000)^6+Data!$V$67*($A22/1000)^7))))</f>
        <v>5.8495889638549903E-2</v>
      </c>
    </row>
    <row r="23" spans="1:3" x14ac:dyDescent="0.3">
      <c r="A23">
        <f>3.02419*(29979200000/1000000000)</f>
        <v>90.662796847999999</v>
      </c>
      <c r="B23">
        <v>0.94843999999999995</v>
      </c>
      <c r="C23">
        <f>MAX(0,(-B23+1/EXP((Data!$M$58*2.54)*(Data!$V$60+Data!$V$61*($A23/1000)+Data!$V$62*($A23/1000)^2+Data!$V$63*($A23/1000)^3+Data!$V$64*($A23/1000)^4+Data!$V$65*($A23/1000)^5+Data!$V$66*($A23/1000)^6+Data!$V$67*($A23/1000)^7))))</f>
        <v>9.8500698915007234E-3</v>
      </c>
    </row>
    <row r="24" spans="1:3" x14ac:dyDescent="0.3">
      <c r="A24">
        <f>3.074593*(29979200000/1000000000)</f>
        <v>92.173838465599999</v>
      </c>
      <c r="B24">
        <v>0.93354999999999999</v>
      </c>
      <c r="C24">
        <f>MAX(0,(-B24+1/EXP((Data!$M$58*2.54)*(Data!$V$60+Data!$V$61*($A24/1000)+Data!$V$62*($A24/1000)^2+Data!$V$63*($A24/1000)^3+Data!$V$64*($A24/1000)^4+Data!$V$65*($A24/1000)^5+Data!$V$66*($A24/1000)^6+Data!$V$67*($A24/1000)^7))))</f>
        <v>2.2325426315495167E-2</v>
      </c>
    </row>
    <row r="25" spans="1:3" x14ac:dyDescent="0.3">
      <c r="A25">
        <f>3.124996*(29979200000/1000000000)</f>
        <v>93.684880083199999</v>
      </c>
      <c r="B25">
        <v>0.93598000000000003</v>
      </c>
      <c r="C25">
        <f>MAX(0,(-B25+1/EXP((Data!$M$58*2.54)*(Data!$V$60+Data!$V$61*($A25/1000)+Data!$V$62*($A25/1000)^2+Data!$V$63*($A25/1000)^3+Data!$V$64*($A25/1000)^4+Data!$V$65*($A25/1000)^5+Data!$V$66*($A25/1000)^6+Data!$V$67*($A25/1000)^7))))</f>
        <v>1.74919053498932E-2</v>
      </c>
    </row>
    <row r="26" spans="1:3" x14ac:dyDescent="0.3">
      <c r="A26">
        <f>3.175399*(29979200000/1000000000)</f>
        <v>95.1959217008</v>
      </c>
      <c r="B26">
        <v>0.93079000000000001</v>
      </c>
      <c r="C26">
        <f>MAX(0,(-B26+1/EXP((Data!$M$58*2.54)*(Data!$V$60+Data!$V$61*($A26/1000)+Data!$V$62*($A26/1000)^2+Data!$V$63*($A26/1000)^3+Data!$V$64*($A26/1000)^4+Data!$V$65*($A26/1000)^5+Data!$V$66*($A26/1000)^6+Data!$V$67*($A26/1000)^7))))</f>
        <v>2.0289453728209783E-2</v>
      </c>
    </row>
    <row r="27" spans="1:3" x14ac:dyDescent="0.3">
      <c r="A27">
        <f>3.225802*(29979200000/1000000000)</f>
        <v>96.706963318399985</v>
      </c>
      <c r="B27">
        <v>0.92795000000000005</v>
      </c>
      <c r="C27">
        <f>MAX(0,(-B27+1/EXP((Data!$M$58*2.54)*(Data!$V$60+Data!$V$61*($A27/1000)+Data!$V$62*($A27/1000)^2+Data!$V$63*($A27/1000)^3+Data!$V$64*($A27/1000)^4+Data!$V$65*($A27/1000)^5+Data!$V$66*($A27/1000)^6+Data!$V$67*($A27/1000)^7))))</f>
        <v>2.0748018476218988E-2</v>
      </c>
    </row>
    <row r="28" spans="1:3" x14ac:dyDescent="0.3">
      <c r="A28">
        <f>3.276205*(29979200000/1000000000)</f>
        <v>98.218004936</v>
      </c>
      <c r="B28">
        <v>0.91593999999999998</v>
      </c>
      <c r="C28">
        <f>MAX(0,(-B28+1/EXP((Data!$M$58*2.54)*(Data!$V$60+Data!$V$61*($A28/1000)+Data!$V$62*($A28/1000)^2+Data!$V$63*($A28/1000)^3+Data!$V$64*($A28/1000)^4+Data!$V$65*($A28/1000)^5+Data!$V$66*($A28/1000)^6+Data!$V$67*($A28/1000)^7))))</f>
        <v>3.0387546910074614E-2</v>
      </c>
    </row>
    <row r="29" spans="1:3" x14ac:dyDescent="0.3">
      <c r="A29">
        <f>3.326608*(29979200000/1000000000)</f>
        <v>99.7290465536</v>
      </c>
      <c r="B29">
        <v>0.87250000000000005</v>
      </c>
      <c r="C29">
        <f>MAX(0,(-B29+1/EXP((Data!$M$58*2.54)*(Data!$V$60+Data!$V$61*($A29/1000)+Data!$V$62*($A29/1000)^2+Data!$V$63*($A29/1000)^3+Data!$V$64*($A29/1000)^4+Data!$V$65*($A29/1000)^5+Data!$V$66*($A29/1000)^6+Data!$V$67*($A29/1000)^7))))</f>
        <v>7.1467986634445202E-2</v>
      </c>
    </row>
    <row r="30" spans="1:3" x14ac:dyDescent="0.3">
      <c r="A30">
        <f>3.377011*(29979200000/1000000000)</f>
        <v>101.2400881712</v>
      </c>
      <c r="B30">
        <v>0.86238000000000004</v>
      </c>
      <c r="C30">
        <f>MAX(0,(-B30+1/EXP((Data!$M$58*2.54)*(Data!$V$60+Data!$V$61*($A30/1000)+Data!$V$62*($A30/1000)^2+Data!$V$63*($A30/1000)^3+Data!$V$64*($A30/1000)^4+Data!$V$65*($A30/1000)^5+Data!$V$66*($A30/1000)^6+Data!$V$67*($A30/1000)^7))))</f>
        <v>7.9239285540661175E-2</v>
      </c>
    </row>
    <row r="31" spans="1:3" x14ac:dyDescent="0.3">
      <c r="A31">
        <f>3.427414*(29979200000/1000000000)</f>
        <v>102.7511297888</v>
      </c>
      <c r="B31">
        <v>0.87019000000000002</v>
      </c>
      <c r="C31">
        <f>MAX(0,(-B31+1/EXP((Data!$M$58*2.54)*(Data!$V$60+Data!$V$61*($A31/1000)+Data!$V$62*($A31/1000)^2+Data!$V$63*($A31/1000)^3+Data!$V$64*($A31/1000)^4+Data!$V$65*($A31/1000)^5+Data!$V$66*($A31/1000)^6+Data!$V$67*($A31/1000)^7))))</f>
        <v>6.9091391804877222E-2</v>
      </c>
    </row>
    <row r="32" spans="1:3" x14ac:dyDescent="0.3">
      <c r="A32">
        <f>3.477817*(29979200000/1000000000)</f>
        <v>104.2621714064</v>
      </c>
      <c r="B32">
        <v>0.84401000000000004</v>
      </c>
      <c r="C32">
        <f>MAX(0,(-B32+1/EXP((Data!$M$58*2.54)*(Data!$V$60+Data!$V$61*($A32/1000)+Data!$V$62*($A32/1000)^2+Data!$V$63*($A32/1000)^3+Data!$V$64*($A32/1000)^4+Data!$V$65*($A32/1000)^5+Data!$V$66*($A32/1000)^6+Data!$V$67*($A32/1000)^7))))</f>
        <v>9.2944253886249495E-2</v>
      </c>
    </row>
    <row r="33" spans="1:3" x14ac:dyDescent="0.3">
      <c r="A33">
        <f>3.52822*(29979200000/1000000000)</f>
        <v>105.773213024</v>
      </c>
      <c r="B33">
        <v>0.78930999999999996</v>
      </c>
      <c r="C33">
        <f>MAX(0,(-B33+1/EXP((Data!$M$58*2.54)*(Data!$V$60+Data!$V$61*($A33/1000)+Data!$V$62*($A33/1000)^2+Data!$V$63*($A33/1000)^3+Data!$V$64*($A33/1000)^4+Data!$V$65*($A33/1000)^5+Data!$V$66*($A33/1000)^6+Data!$V$67*($A33/1000)^7))))</f>
        <v>0.1453278205251245</v>
      </c>
    </row>
    <row r="34" spans="1:3" x14ac:dyDescent="0.3">
      <c r="A34">
        <f>3.578623*(29979200000/1000000000)</f>
        <v>107.2842546416</v>
      </c>
      <c r="B34">
        <v>0.77732000000000001</v>
      </c>
      <c r="C34">
        <f>MAX(0,(-B34+1/EXP((Data!$M$58*2.54)*(Data!$V$60+Data!$V$61*($A34/1000)+Data!$V$62*($A34/1000)^2+Data!$V$63*($A34/1000)^3+Data!$V$64*($A34/1000)^4+Data!$V$65*($A34/1000)^5+Data!$V$66*($A34/1000)^6+Data!$V$67*($A34/1000)^7))))</f>
        <v>0.15501204074124275</v>
      </c>
    </row>
    <row r="35" spans="1:3" x14ac:dyDescent="0.3">
      <c r="A35">
        <f>3.629026*(29979200000/1000000000)</f>
        <v>108.7952962592</v>
      </c>
      <c r="B35">
        <v>0.78286</v>
      </c>
      <c r="C35">
        <f>MAX(0,(-B35+1/EXP((Data!$M$58*2.54)*(Data!$V$60+Data!$V$61*($A35/1000)+Data!$V$62*($A35/1000)^2+Data!$V$63*($A35/1000)^3+Data!$V$64*($A35/1000)^4+Data!$V$65*($A35/1000)^5+Data!$V$66*($A35/1000)^6+Data!$V$67*($A35/1000)^7))))</f>
        <v>0.14717686383195649</v>
      </c>
    </row>
    <row r="36" spans="1:3" x14ac:dyDescent="0.3">
      <c r="A36">
        <f>3.679429*(29979200000/1000000000)</f>
        <v>110.30633787679999</v>
      </c>
      <c r="B36">
        <v>0.74694000000000005</v>
      </c>
      <c r="C36">
        <f>MAX(0,(-B36+1/EXP((Data!$M$58*2.54)*(Data!$V$60+Data!$V$61*($A36/1000)+Data!$V$62*($A36/1000)^2+Data!$V$63*($A36/1000)^3+Data!$V$64*($A36/1000)^4+Data!$V$65*($A36/1000)^5+Data!$V$66*($A36/1000)^6+Data!$V$67*($A36/1000)^7))))</f>
        <v>0.18081223937045898</v>
      </c>
    </row>
    <row r="37" spans="1:3" x14ac:dyDescent="0.3">
      <c r="A37">
        <f>3.729832*(29979200000/1000000000)</f>
        <v>111.8173794944</v>
      </c>
      <c r="B37">
        <v>0.61861999999999995</v>
      </c>
      <c r="C37">
        <f>MAX(0,(-B37+1/EXP((Data!$M$58*2.54)*(Data!$V$60+Data!$V$61*($A37/1000)+Data!$V$62*($A37/1000)^2+Data!$V$63*($A37/1000)^3+Data!$V$64*($A37/1000)^4+Data!$V$65*($A37/1000)^5+Data!$V$66*($A37/1000)^6+Data!$V$67*($A37/1000)^7))))</f>
        <v>0.30685811720402889</v>
      </c>
    </row>
    <row r="38" spans="1:3" x14ac:dyDescent="0.3">
      <c r="A38">
        <f>3.780235*(29979200000/1000000000)</f>
        <v>113.328421112</v>
      </c>
      <c r="B38">
        <v>0.41181000000000001</v>
      </c>
      <c r="C38">
        <f>MAX(0,(-B38+1/EXP((Data!$M$58*2.54)*(Data!$V$60+Data!$V$61*($A38/1000)+Data!$V$62*($A38/1000)^2+Data!$V$63*($A38/1000)^3+Data!$V$64*($A38/1000)^4+Data!$V$65*($A38/1000)^5+Data!$V$66*($A38/1000)^6+Data!$V$67*($A38/1000)^7))))</f>
        <v>0.51140444745228597</v>
      </c>
    </row>
    <row r="39" spans="1:3" x14ac:dyDescent="0.3">
      <c r="A39">
        <f>3.830638*(29979200000/1000000000)</f>
        <v>114.8394627296</v>
      </c>
      <c r="B39">
        <v>0.22411</v>
      </c>
      <c r="C39">
        <f>MAX(0,(-B39+1/EXP((Data!$M$58*2.54)*(Data!$V$60+Data!$V$61*($A39/1000)+Data!$V$62*($A39/1000)^2+Data!$V$63*($A39/1000)^3+Data!$V$64*($A39/1000)^4+Data!$V$65*($A39/1000)^5+Data!$V$66*($A39/1000)^6+Data!$V$67*($A39/1000)^7))))</f>
        <v>0.69685118050546235</v>
      </c>
    </row>
    <row r="40" spans="1:3" x14ac:dyDescent="0.3">
      <c r="A40">
        <f>3.881041*(29979200000/1000000000)</f>
        <v>116.3505043472</v>
      </c>
      <c r="B40">
        <v>0.1235</v>
      </c>
      <c r="C40">
        <f>MAX(0,(-B40+1/EXP((Data!$M$58*2.54)*(Data!$V$60+Data!$V$61*($A40/1000)+Data!$V$62*($A40/1000)^2+Data!$V$63*($A40/1000)^3+Data!$V$64*($A40/1000)^4+Data!$V$65*($A40/1000)^5+Data!$V$66*($A40/1000)^6+Data!$V$67*($A40/1000)^7))))</f>
        <v>0.7952182670226835</v>
      </c>
    </row>
    <row r="41" spans="1:3" x14ac:dyDescent="0.3">
      <c r="A41">
        <f>3.931444*(29979200000/1000000000)</f>
        <v>117.86154596479999</v>
      </c>
      <c r="B41">
        <v>8.0240000000000006E-2</v>
      </c>
      <c r="C41">
        <f>MAX(0,(-B41+1/EXP((Data!$M$58*2.54)*(Data!$V$60+Data!$V$61*($A41/1000)+Data!$V$62*($A41/1000)^2+Data!$V$63*($A41/1000)^3+Data!$V$64*($A41/1000)^4+Data!$V$65*($A41/1000)^5+Data!$V$66*($A41/1000)^6+Data!$V$67*($A41/1000)^7))))</f>
        <v>0.83624565793026395</v>
      </c>
    </row>
    <row r="42" spans="1:3" x14ac:dyDescent="0.3">
      <c r="A42">
        <f>3.981847*(29979200000/1000000000)</f>
        <v>119.3725875824</v>
      </c>
      <c r="B42">
        <v>4.3279999999999999E-2</v>
      </c>
      <c r="C42">
        <f>MAX(0,(-B42+1/EXP((Data!$M$58*2.54)*(Data!$V$60+Data!$V$61*($A42/1000)+Data!$V$62*($A42/1000)^2+Data!$V$63*($A42/1000)^3+Data!$V$64*($A42/1000)^4+Data!$V$65*($A42/1000)^5+Data!$V$66*($A42/1000)^6+Data!$V$67*($A42/1000)^7))))</f>
        <v>0.87098330442001548</v>
      </c>
    </row>
    <row r="43" spans="1:3" x14ac:dyDescent="0.3">
      <c r="A43">
        <f>4.03225*(29979200000/1000000000)</f>
        <v>120.88362919999997</v>
      </c>
      <c r="B43">
        <v>1.8290000000000001E-2</v>
      </c>
      <c r="C43">
        <f>MAX(0,(-B43+1/EXP((Data!$M$58*2.54)*(Data!$V$60+Data!$V$61*($A43/1000)+Data!$V$62*($A43/1000)^2+Data!$V$63*($A43/1000)^3+Data!$V$64*($A43/1000)^4+Data!$V$65*($A43/1000)^5+Data!$V$66*($A43/1000)^6+Data!$V$67*($A43/1000)^7))))</f>
        <v>0.8937611579475675</v>
      </c>
    </row>
    <row r="44" spans="1:3" x14ac:dyDescent="0.3">
      <c r="A44">
        <f>4.082653*(29979200000/1000000000)</f>
        <v>122.39467081760002</v>
      </c>
      <c r="B44">
        <v>6.8100000000000001E-3</v>
      </c>
      <c r="C44">
        <f>MAX(0,(-B44+1/EXP((Data!$M$58*2.54)*(Data!$V$60+Data!$V$61*($A44/1000)+Data!$V$62*($A44/1000)^2+Data!$V$63*($A44/1000)^3+Data!$V$64*($A44/1000)^4+Data!$V$65*($A44/1000)^5+Data!$V$66*($A44/1000)^6+Data!$V$67*($A44/1000)^7))))</f>
        <v>0.90303917023069946</v>
      </c>
    </row>
    <row r="45" spans="1:3" x14ac:dyDescent="0.3">
      <c r="A45">
        <f>4.133056*(29979200000/1000000000)</f>
        <v>123.90571243519999</v>
      </c>
      <c r="B45">
        <v>2.6700000000000001E-3</v>
      </c>
      <c r="C45">
        <f>MAX(0,(-B45+1/EXP((Data!$M$58*2.54)*(Data!$V$60+Data!$V$61*($A45/1000)+Data!$V$62*($A45/1000)^2+Data!$V$63*($A45/1000)^3+Data!$V$64*($A45/1000)^4+Data!$V$65*($A45/1000)^5+Data!$V$66*($A45/1000)^6+Data!$V$67*($A45/1000)^7))))</f>
        <v>0.90498729324768656</v>
      </c>
    </row>
    <row r="46" spans="1:3" x14ac:dyDescent="0.3">
      <c r="A46">
        <f>4.183459*(29979200000/1000000000)</f>
        <v>125.4167540528</v>
      </c>
      <c r="B46">
        <v>1.99E-3</v>
      </c>
      <c r="C46">
        <f>MAX(0,(-B46+1/EXP((Data!$M$58*2.54)*(Data!$V$60+Data!$V$61*($A46/1000)+Data!$V$62*($A46/1000)^2+Data!$V$63*($A46/1000)^3+Data!$V$64*($A46/1000)^4+Data!$V$65*($A46/1000)^5+Data!$V$66*($A46/1000)^6+Data!$V$67*($A46/1000)^7))))</f>
        <v>0.90348547923565603</v>
      </c>
    </row>
    <row r="47" spans="1:3" x14ac:dyDescent="0.3">
      <c r="A47">
        <f>4.233862*(29979200000/1000000000)</f>
        <v>126.9277956704</v>
      </c>
      <c r="B47">
        <v>3.81E-3</v>
      </c>
      <c r="C47">
        <f>MAX(0,(-B47+1/EXP((Data!$M$58*2.54)*(Data!$V$60+Data!$V$61*($A47/1000)+Data!$V$62*($A47/1000)^2+Data!$V$63*($A47/1000)^3+Data!$V$64*($A47/1000)^4+Data!$V$65*($A47/1000)^5+Data!$V$66*($A47/1000)^6+Data!$V$67*($A47/1000)^7))))</f>
        <v>0.8994936806889583</v>
      </c>
    </row>
    <row r="48" spans="1:3" x14ac:dyDescent="0.3">
      <c r="A48">
        <f>4.284265*(29979200000/1000000000)</f>
        <v>128.43883728799997</v>
      </c>
      <c r="B48">
        <v>3.3600000000000001E-3</v>
      </c>
      <c r="C48">
        <f>MAX(0,(-B48+1/EXP((Data!$M$58*2.54)*(Data!$V$60+Data!$V$61*($A48/1000)+Data!$V$62*($A48/1000)^2+Data!$V$63*($A48/1000)^3+Data!$V$64*($A48/1000)^4+Data!$V$65*($A48/1000)^5+Data!$V$66*($A48/1000)^6+Data!$V$67*($A48/1000)^7))))</f>
        <v>0.89778185035754599</v>
      </c>
    </row>
    <row r="49" spans="1:3" x14ac:dyDescent="0.3">
      <c r="A49">
        <f>4.334668*(29979200000/1000000000)</f>
        <v>129.9498789056</v>
      </c>
      <c r="B49">
        <v>2.5899999999999999E-3</v>
      </c>
      <c r="C49">
        <f>MAX(0,(-B49+1/EXP((Data!$M$58*2.54)*(Data!$V$60+Data!$V$61*($A49/1000)+Data!$V$62*($A49/1000)^2+Data!$V$63*($A49/1000)^3+Data!$V$64*($A49/1000)^4+Data!$V$65*($A49/1000)^5+Data!$V$66*($A49/1000)^6+Data!$V$67*($A49/1000)^7))))</f>
        <v>0.89639994124536859</v>
      </c>
    </row>
    <row r="50" spans="1:3" x14ac:dyDescent="0.3">
      <c r="A50">
        <f>4.385071*(29979200000/1000000000)</f>
        <v>131.4609205232</v>
      </c>
      <c r="B50">
        <v>2.1199999999999999E-3</v>
      </c>
      <c r="C50">
        <f>MAX(0,(-B50+1/EXP((Data!$M$58*2.54)*(Data!$V$60+Data!$V$61*($A50/1000)+Data!$V$62*($A50/1000)^2+Data!$V$63*($A50/1000)^3+Data!$V$64*($A50/1000)^4+Data!$V$65*($A50/1000)^5+Data!$V$66*($A50/1000)^6+Data!$V$67*($A50/1000)^7))))</f>
        <v>0.89472790660877732</v>
      </c>
    </row>
    <row r="51" spans="1:3" x14ac:dyDescent="0.3">
      <c r="A51">
        <f>4.435474*(29979200000/1000000000)</f>
        <v>132.9719621408</v>
      </c>
      <c r="B51">
        <v>0</v>
      </c>
      <c r="C51">
        <f>MAX(0,(-B51+1/EXP((Data!$M$58*2.54)*(Data!$V$60+Data!$V$61*($A51/1000)+Data!$V$62*($A51/1000)^2+Data!$V$63*($A51/1000)^3+Data!$V$64*($A51/1000)^4+Data!$V$65*($A51/1000)^5+Data!$V$66*($A51/1000)^6+Data!$V$67*($A51/1000)^7))))</f>
        <v>0.89471569995494105</v>
      </c>
    </row>
    <row r="52" spans="1:3" x14ac:dyDescent="0.3">
      <c r="A52">
        <f>4.485877*(29979200000/1000000000)</f>
        <v>134.4830037584</v>
      </c>
      <c r="B52">
        <v>0</v>
      </c>
      <c r="C52">
        <f>MAX(0,(-B52+1/EXP((Data!$M$58*2.54)*(Data!$V$60+Data!$V$61*($A52/1000)+Data!$V$62*($A52/1000)^2+Data!$V$63*($A52/1000)^3+Data!$V$64*($A52/1000)^4+Data!$V$65*($A52/1000)^5+Data!$V$66*($A52/1000)^6+Data!$V$67*($A52/1000)^7))))</f>
        <v>0.8925932750402743</v>
      </c>
    </row>
    <row r="53" spans="1:3" x14ac:dyDescent="0.3">
      <c r="A53">
        <f>4.53628*(29979200000/1000000000)</f>
        <v>135.99404537599997</v>
      </c>
      <c r="B53">
        <v>0</v>
      </c>
      <c r="C53">
        <f>MAX(0,(-B53+1/EXP((Data!$M$58*2.54)*(Data!$V$60+Data!$V$61*($A53/1000)+Data!$V$62*($A53/1000)^2+Data!$V$63*($A53/1000)^3+Data!$V$64*($A53/1000)^4+Data!$V$65*($A53/1000)^5+Data!$V$66*($A53/1000)^6+Data!$V$67*($A53/1000)^7))))</f>
        <v>0.89048058586887791</v>
      </c>
    </row>
    <row r="54" spans="1:3" x14ac:dyDescent="0.3">
      <c r="A54">
        <f>4.586683*(29979200000/1000000000)</f>
        <v>137.5050869936</v>
      </c>
      <c r="B54">
        <v>5.0000000000000002E-5</v>
      </c>
      <c r="C54">
        <f>MAX(0,(-B54+1/EXP((Data!$M$58*2.54)*(Data!$V$60+Data!$V$61*($A54/1000)+Data!$V$62*($A54/1000)^2+Data!$V$63*($A54/1000)^3+Data!$V$64*($A54/1000)^4+Data!$V$65*($A54/1000)^5+Data!$V$66*($A54/1000)^6+Data!$V$67*($A54/1000)^7))))</f>
        <v>0.88832758669098788</v>
      </c>
    </row>
    <row r="55" spans="1:3" x14ac:dyDescent="0.3">
      <c r="A55">
        <f>4.637086*(29979200000/1000000000)</f>
        <v>139.0161286112</v>
      </c>
      <c r="B55">
        <v>2.3600000000000001E-3</v>
      </c>
      <c r="C55">
        <f>MAX(0,(-B55+1/EXP((Data!$M$58*2.54)*(Data!$V$60+Data!$V$61*($A55/1000)+Data!$V$62*($A55/1000)^2+Data!$V$63*($A55/1000)^3+Data!$V$64*($A55/1000)^4+Data!$V$65*($A55/1000)^5+Data!$V$66*($A55/1000)^6+Data!$V$67*($A55/1000)^7))))</f>
        <v>0.88392423200143933</v>
      </c>
    </row>
    <row r="56" spans="1:3" x14ac:dyDescent="0.3">
      <c r="A56">
        <f>4.687489*(29979200000/1000000000)</f>
        <v>140.5271702288</v>
      </c>
      <c r="B56">
        <v>3.3500000000000001E-3</v>
      </c>
      <c r="C56">
        <f>MAX(0,(-B56+1/EXP((Data!$M$58*2.54)*(Data!$V$60+Data!$V$61*($A56/1000)+Data!$V$62*($A56/1000)^2+Data!$V$63*($A56/1000)^3+Data!$V$64*($A56/1000)^4+Data!$V$65*($A56/1000)^5+Data!$V$66*($A56/1000)^6+Data!$V$67*($A56/1000)^7))))</f>
        <v>0.88085047653813853</v>
      </c>
    </row>
    <row r="57" spans="1:3" x14ac:dyDescent="0.3">
      <c r="A57">
        <f>4.737892*(29979200000/1000000000)</f>
        <v>142.0382118464</v>
      </c>
      <c r="B57">
        <v>2.15E-3</v>
      </c>
      <c r="C57">
        <f>MAX(0,(-B57+1/EXP((Data!$M$58*2.54)*(Data!$V$60+Data!$V$61*($A57/1000)+Data!$V$62*($A57/1000)^2+Data!$V$63*($A57/1000)^3+Data!$V$64*($A57/1000)^4+Data!$V$65*($A57/1000)^5+Data!$V$66*($A57/1000)^6+Data!$V$67*($A57/1000)^7))))</f>
        <v>0.87997627528054712</v>
      </c>
    </row>
    <row r="58" spans="1:3" x14ac:dyDescent="0.3">
      <c r="A58">
        <f>4.788295*(29979200000/1000000000)</f>
        <v>143.54925346399997</v>
      </c>
      <c r="B58">
        <v>1.9300000000000001E-3</v>
      </c>
      <c r="C58">
        <f>MAX(0,(-B58+1/EXP((Data!$M$58*2.54)*(Data!$V$60+Data!$V$61*($A58/1000)+Data!$V$62*($A58/1000)^2+Data!$V$63*($A58/1000)^3+Data!$V$64*($A58/1000)^4+Data!$V$65*($A58/1000)^5+Data!$V$66*($A58/1000)^6+Data!$V$67*($A58/1000)^7))))</f>
        <v>0.87813158344817754</v>
      </c>
    </row>
    <row r="59" spans="1:3" x14ac:dyDescent="0.3">
      <c r="A59">
        <f>4.838698*(29979200000/1000000000)</f>
        <v>145.06029508160003</v>
      </c>
      <c r="B59">
        <v>1.07E-3</v>
      </c>
      <c r="C59">
        <f>MAX(0,(-B59+1/EXP((Data!$M$58*2.54)*(Data!$V$60+Data!$V$61*($A59/1000)+Data!$V$62*($A59/1000)^2+Data!$V$63*($A59/1000)^3+Data!$V$64*($A59/1000)^4+Data!$V$65*($A59/1000)^5+Data!$V$66*($A59/1000)^6+Data!$V$67*($A59/1000)^7))))</f>
        <v>0.87693635649909896</v>
      </c>
    </row>
    <row r="60" spans="1:3" x14ac:dyDescent="0.3">
      <c r="A60">
        <f>4.889101*(29979200000/1000000000)</f>
        <v>146.5713366992</v>
      </c>
      <c r="B60">
        <v>5.0000000000000002E-5</v>
      </c>
      <c r="C60">
        <f>MAX(0,(-B60+1/EXP((Data!$M$58*2.54)*(Data!$V$60+Data!$V$61*($A60/1000)+Data!$V$62*($A60/1000)^2+Data!$V$63*($A60/1000)^3+Data!$V$64*($A60/1000)^4+Data!$V$65*($A60/1000)^5+Data!$V$66*($A60/1000)^6+Data!$V$67*($A60/1000)^7))))</f>
        <v>0.87591055012845342</v>
      </c>
    </row>
    <row r="61" spans="1:3" x14ac:dyDescent="0.3">
      <c r="A61">
        <f>4.939504*(29979200000/1000000000)</f>
        <v>148.0823783168</v>
      </c>
      <c r="B61">
        <v>0</v>
      </c>
      <c r="C61">
        <f>MAX(0,(-B61+1/EXP((Data!$M$58*2.54)*(Data!$V$60+Data!$V$61*($A61/1000)+Data!$V$62*($A61/1000)^2+Data!$V$63*($A61/1000)^3+Data!$V$64*($A61/1000)^4+Data!$V$65*($A61/1000)^5+Data!$V$66*($A61/1000)^6+Data!$V$67*($A61/1000)^7))))</f>
        <v>0.87392412026698385</v>
      </c>
    </row>
    <row r="62" spans="1:3" x14ac:dyDescent="0.3">
      <c r="A62">
        <f>4.989907*(29979200000/1000000000)</f>
        <v>149.5934199344</v>
      </c>
      <c r="B62">
        <v>0</v>
      </c>
      <c r="C62">
        <f>MAX(0,(-B62+1/EXP((Data!$M$58*2.54)*(Data!$V$60+Data!$V$61*($A62/1000)+Data!$V$62*($A62/1000)^2+Data!$V$63*($A62/1000)^3+Data!$V$64*($A62/1000)^4+Data!$V$65*($A62/1000)^5+Data!$V$66*($A62/1000)^6+Data!$V$67*($A62/1000)^7))))</f>
        <v>0.87189702307957084</v>
      </c>
    </row>
    <row r="63" spans="1:3" x14ac:dyDescent="0.3">
      <c r="A63">
        <f>5.04031*(29979200000/1000000000)</f>
        <v>151.10446155199998</v>
      </c>
      <c r="B63">
        <v>3.8000000000000002E-4</v>
      </c>
      <c r="C63">
        <f>MAX(0,(-B63+1/EXP((Data!$M$58*2.54)*(Data!$V$60+Data!$V$61*($A63/1000)+Data!$V$62*($A63/1000)^2+Data!$V$63*($A63/1000)^3+Data!$V$64*($A63/1000)^4+Data!$V$65*($A63/1000)^5+Data!$V$66*($A63/1000)^6+Data!$V$67*($A63/1000)^7))))</f>
        <v>0.86949921496378191</v>
      </c>
    </row>
    <row r="64" spans="1:3" x14ac:dyDescent="0.3">
      <c r="A64">
        <f>5.090713*(29979200000/1000000000)</f>
        <v>152.6155031696</v>
      </c>
      <c r="B64">
        <v>1.2700000000000001E-3</v>
      </c>
      <c r="C64">
        <f>MAX(0,(-B64+1/EXP((Data!$M$58*2.54)*(Data!$V$60+Data!$V$61*($A64/1000)+Data!$V$62*($A64/1000)^2+Data!$V$63*($A64/1000)^3+Data!$V$64*($A64/1000)^4+Data!$V$65*($A64/1000)^5+Data!$V$66*($A64/1000)^6+Data!$V$67*($A64/1000)^7))))</f>
        <v>0.86660065254842955</v>
      </c>
    </row>
    <row r="65" spans="1:3" x14ac:dyDescent="0.3">
      <c r="A65">
        <f>5.141116*(29979200000/1000000000)</f>
        <v>154.1265447872</v>
      </c>
      <c r="B65">
        <v>0</v>
      </c>
      <c r="C65">
        <f>MAX(0,(-B65+1/EXP((Data!$M$58*2.54)*(Data!$V$60+Data!$V$61*($A65/1000)+Data!$V$62*($A65/1000)^2+Data!$V$63*($A65/1000)^3+Data!$V$64*($A65/1000)^4+Data!$V$65*($A65/1000)^5+Data!$V$66*($A65/1000)^6+Data!$V$67*($A65/1000)^7))))</f>
        <v>0.86587129269214036</v>
      </c>
    </row>
    <row r="66" spans="1:3" x14ac:dyDescent="0.3">
      <c r="A66">
        <f>5.191519*(29979200000/1000000000)</f>
        <v>155.63758640479998</v>
      </c>
      <c r="B66">
        <v>0</v>
      </c>
      <c r="C66">
        <f>MAX(0,(-B66+1/EXP((Data!$M$58*2.54)*(Data!$V$60+Data!$V$61*($A66/1000)+Data!$V$62*($A66/1000)^2+Data!$V$63*($A66/1000)^3+Data!$V$64*($A66/1000)^4+Data!$V$65*($A66/1000)^5+Data!$V$66*($A66/1000)^6+Data!$V$67*($A66/1000)^7))))</f>
        <v>0.86388109248193357</v>
      </c>
    </row>
    <row r="67" spans="1:3" x14ac:dyDescent="0.3">
      <c r="A67">
        <f>5.241922*(29979200000/1000000000)</f>
        <v>157.1486280224</v>
      </c>
      <c r="B67">
        <v>0</v>
      </c>
      <c r="C67">
        <f>MAX(0,(-B67+1/EXP((Data!$M$58*2.54)*(Data!$V$60+Data!$V$61*($A67/1000)+Data!$V$62*($A67/1000)^2+Data!$V$63*($A67/1000)^3+Data!$V$64*($A67/1000)^4+Data!$V$65*($A67/1000)^5+Data!$V$66*($A67/1000)^6+Data!$V$67*($A67/1000)^7))))</f>
        <v>0.86190000923181065</v>
      </c>
    </row>
    <row r="68" spans="1:3" x14ac:dyDescent="0.3">
      <c r="A68">
        <f>5.292325*(29979200000/1000000000)</f>
        <v>158.65966964</v>
      </c>
      <c r="B68">
        <v>7.7999999999999999E-4</v>
      </c>
      <c r="C68">
        <f>MAX(0,(-B68+1/EXP((Data!$M$58*2.54)*(Data!$V$60+Data!$V$61*($A68/1000)+Data!$V$62*($A68/1000)^2+Data!$V$63*($A68/1000)^3+Data!$V$64*($A68/1000)^4+Data!$V$65*($A68/1000)^5+Data!$V$66*($A68/1000)^6+Data!$V$67*($A68/1000)^7))))</f>
        <v>0.85914800048135453</v>
      </c>
    </row>
    <row r="69" spans="1:3" x14ac:dyDescent="0.3">
      <c r="A69">
        <f>5.342728*(29979200000/1000000000)</f>
        <v>160.1707112576</v>
      </c>
      <c r="B69">
        <v>1.1800000000000001E-3</v>
      </c>
      <c r="C69">
        <f>MAX(0,(-B69+1/EXP((Data!$M$58*2.54)*(Data!$V$60+Data!$V$61*($A69/1000)+Data!$V$62*($A69/1000)^2+Data!$V$63*($A69/1000)^3+Data!$V$64*($A69/1000)^4+Data!$V$65*($A69/1000)^5+Data!$V$66*($A69/1000)^6+Data!$V$67*($A69/1000)^7))))</f>
        <v>0.85678502399433754</v>
      </c>
    </row>
    <row r="70" spans="1:3" x14ac:dyDescent="0.3">
      <c r="A70">
        <f>5.393131*(29979200000/1000000000)</f>
        <v>161.6817528752</v>
      </c>
      <c r="B70">
        <v>6.4000000000000005E-4</v>
      </c>
      <c r="C70">
        <f>MAX(0,(-B70+1/EXP((Data!$M$58*2.54)*(Data!$V$60+Data!$V$61*($A70/1000)+Data!$V$62*($A70/1000)^2+Data!$V$63*($A70/1000)^3+Data!$V$64*($A70/1000)^4+Data!$V$65*($A70/1000)^5+Data!$V$66*($A70/1000)^6+Data!$V$67*($A70/1000)^7))))</f>
        <v>0.85537103775734158</v>
      </c>
    </row>
    <row r="71" spans="1:3" x14ac:dyDescent="0.3">
      <c r="A71">
        <f>5.443534*(29979200000/1000000000)</f>
        <v>163.19279449279998</v>
      </c>
      <c r="B71">
        <v>5.2999999999999998E-4</v>
      </c>
      <c r="C71">
        <f>MAX(0,(-B71+1/EXP((Data!$M$58*2.54)*(Data!$V$60+Data!$V$61*($A71/1000)+Data!$V$62*($A71/1000)^2+Data!$V$63*($A71/1000)^3+Data!$V$64*($A71/1000)^4+Data!$V$65*($A71/1000)^5+Data!$V$66*($A71/1000)^6+Data!$V$67*($A71/1000)^7))))</f>
        <v>0.85353599997838592</v>
      </c>
    </row>
    <row r="72" spans="1:3" x14ac:dyDescent="0.3">
      <c r="A72">
        <f>5.493937*(29979200000/1000000000)</f>
        <v>164.7038361104</v>
      </c>
      <c r="B72">
        <v>4.6999999999999999E-4</v>
      </c>
      <c r="C72">
        <f>MAX(0,(-B72+1/EXP((Data!$M$58*2.54)*(Data!$V$60+Data!$V$61*($A72/1000)+Data!$V$62*($A72/1000)^2+Data!$V$63*($A72/1000)^3+Data!$V$64*($A72/1000)^4+Data!$V$65*($A72/1000)^5+Data!$V$66*($A72/1000)^6+Data!$V$67*($A72/1000)^7))))</f>
        <v>0.85165986908556524</v>
      </c>
    </row>
    <row r="73" spans="1:3" x14ac:dyDescent="0.3">
      <c r="A73">
        <f>5.54434*(29979200000/1000000000)</f>
        <v>166.214877728</v>
      </c>
      <c r="B73">
        <v>6.4999999999999997E-4</v>
      </c>
      <c r="C73">
        <f>MAX(0,(-B73+1/EXP((Data!$M$58*2.54)*(Data!$V$60+Data!$V$61*($A73/1000)+Data!$V$62*($A73/1000)^2+Data!$V$63*($A73/1000)^3+Data!$V$64*($A73/1000)^4+Data!$V$65*($A73/1000)^5+Data!$V$66*($A73/1000)^6+Data!$V$67*($A73/1000)^7))))</f>
        <v>0.84955260372569774</v>
      </c>
    </row>
    <row r="74" spans="1:3" x14ac:dyDescent="0.3">
      <c r="A74">
        <f>5.594743*(29979200000/1000000000)</f>
        <v>167.7259193456</v>
      </c>
      <c r="B74">
        <v>0</v>
      </c>
      <c r="C74">
        <f>MAX(0,(-B74+1/EXP((Data!$M$58*2.54)*(Data!$V$60+Data!$V$61*($A74/1000)+Data!$V$62*($A74/1000)^2+Data!$V$63*($A74/1000)^3+Data!$V$64*($A74/1000)^4+Data!$V$65*($A74/1000)^5+Data!$V$66*($A74/1000)^6+Data!$V$67*($A74/1000)^7))))</f>
        <v>0.84828416276298235</v>
      </c>
    </row>
    <row r="75" spans="1:3" x14ac:dyDescent="0.3">
      <c r="A75">
        <f>5.645146*(29979200000/1000000000)</f>
        <v>169.2369609632</v>
      </c>
      <c r="B75">
        <v>1E-4</v>
      </c>
      <c r="C75">
        <f>MAX(0,(-B75+1/EXP((Data!$M$58*2.54)*(Data!$V$60+Data!$V$61*($A75/1000)+Data!$V$62*($A75/1000)^2+Data!$V$63*($A75/1000)^3+Data!$V$64*($A75/1000)^4+Data!$V$65*($A75/1000)^5+Data!$V$66*($A75/1000)^6+Data!$V$67*($A75/1000)^7))))</f>
        <v>0.84627450527766523</v>
      </c>
    </row>
    <row r="76" spans="1:3" x14ac:dyDescent="0.3">
      <c r="A76">
        <f>5.695549*(29979200000/1000000000)</f>
        <v>170.74800258079998</v>
      </c>
      <c r="B76">
        <v>0</v>
      </c>
      <c r="C76">
        <f>MAX(0,(-B76+1/EXP((Data!$M$58*2.54)*(Data!$V$60+Data!$V$61*($A76/1000)+Data!$V$62*($A76/1000)^2+Data!$V$63*($A76/1000)^3+Data!$V$64*($A76/1000)^4+Data!$V$65*($A76/1000)^5+Data!$V$66*($A76/1000)^6+Data!$V$67*($A76/1000)^7))))</f>
        <v>0.84447359056471538</v>
      </c>
    </row>
    <row r="77" spans="1:3" x14ac:dyDescent="0.3">
      <c r="A77">
        <f>5.745952*(29979200000/1000000000)</f>
        <v>172.25904419840001</v>
      </c>
      <c r="B77">
        <v>0</v>
      </c>
      <c r="C77">
        <f>MAX(0,(-B77+1/EXP((Data!$M$58*2.54)*(Data!$V$60+Data!$V$61*($A77/1000)+Data!$V$62*($A77/1000)^2+Data!$V$63*($A77/1000)^3+Data!$V$64*($A77/1000)^4+Data!$V$65*($A77/1000)^5+Data!$V$66*($A77/1000)^6+Data!$V$67*($A77/1000)^7))))</f>
        <v>0.84258137813251033</v>
      </c>
    </row>
    <row r="78" spans="1:3" x14ac:dyDescent="0.3">
      <c r="A78">
        <f>5.796355*(29979200000/1000000000)</f>
        <v>173.77008581600001</v>
      </c>
      <c r="B78">
        <v>0</v>
      </c>
      <c r="C78">
        <f>MAX(0,(-B78+1/EXP((Data!$M$58*2.54)*(Data!$V$60+Data!$V$61*($A78/1000)+Data!$V$62*($A78/1000)^2+Data!$V$63*($A78/1000)^3+Data!$V$64*($A78/1000)^4+Data!$V$65*($A78/1000)^5+Data!$V$66*($A78/1000)^6+Data!$V$67*($A78/1000)^7))))</f>
        <v>0.84069782770152979</v>
      </c>
    </row>
    <row r="79" spans="1:3" x14ac:dyDescent="0.3">
      <c r="A79">
        <f>5.846758*(29979200000/1000000000)</f>
        <v>175.28112743360001</v>
      </c>
      <c r="B79">
        <v>0</v>
      </c>
      <c r="C79">
        <f>MAX(0,(-B79+1/EXP((Data!$M$58*2.54)*(Data!$V$60+Data!$V$61*($A79/1000)+Data!$V$62*($A79/1000)^2+Data!$V$63*($A79/1000)^3+Data!$V$64*($A79/1000)^4+Data!$V$65*($A79/1000)^5+Data!$V$66*($A79/1000)^6+Data!$V$67*($A79/1000)^7))))</f>
        <v>0.83882289920305997</v>
      </c>
    </row>
    <row r="80" spans="1:3" x14ac:dyDescent="0.3">
      <c r="A80">
        <f>5.897161*(29979200000/1000000000)</f>
        <v>176.79216905120001</v>
      </c>
      <c r="B80">
        <v>0</v>
      </c>
      <c r="C80">
        <f>MAX(0,(-B80+1/EXP((Data!$M$58*2.54)*(Data!$V$60+Data!$V$61*($A80/1000)+Data!$V$62*($A80/1000)^2+Data!$V$63*($A80/1000)^3+Data!$V$64*($A80/1000)^4+Data!$V$65*($A80/1000)^5+Data!$V$66*($A80/1000)^6+Data!$V$67*($A80/1000)^7))))</f>
        <v>0.83695655277790482</v>
      </c>
    </row>
    <row r="81" spans="1:3" x14ac:dyDescent="0.3">
      <c r="A81">
        <f>5.947564*(29979200000/1000000000)</f>
        <v>178.30321066879998</v>
      </c>
      <c r="B81">
        <v>0</v>
      </c>
      <c r="C81">
        <f>MAX(0,(-B81+1/EXP((Data!$M$58*2.54)*(Data!$V$60+Data!$V$61*($A81/1000)+Data!$V$62*($A81/1000)^2+Data!$V$63*($A81/1000)^3+Data!$V$64*($A81/1000)^4+Data!$V$65*($A81/1000)^5+Data!$V$66*($A81/1000)^6+Data!$V$67*($A81/1000)^7))))</f>
        <v>0.83509874877510837</v>
      </c>
    </row>
    <row r="82" spans="1:3" x14ac:dyDescent="0.3">
      <c r="A82">
        <f>5.997967*(29979200000/1000000000)</f>
        <v>179.81425228640001</v>
      </c>
      <c r="B82">
        <v>0</v>
      </c>
      <c r="C82">
        <f>MAX(0,(-B82+1/EXP((Data!$M$58*2.54)*(Data!$V$60+Data!$V$61*($A82/1000)+Data!$V$62*($A82/1000)^2+Data!$V$63*($A82/1000)^3+Data!$V$64*($A82/1000)^4+Data!$V$65*($A82/1000)^5+Data!$V$66*($A82/1000)^6+Data!$V$67*($A82/1000)^7))))</f>
        <v>0.83324944775068366</v>
      </c>
    </row>
    <row r="83" spans="1:3" x14ac:dyDescent="0.3">
      <c r="A83">
        <f>6.04837*(29979200000/1000000000)</f>
        <v>181.32529390400001</v>
      </c>
      <c r="B83">
        <v>8.0000000000000007E-5</v>
      </c>
      <c r="C83">
        <f>MAX(0,(-B83+1/EXP((Data!$M$58*2.54)*(Data!$V$60+Data!$V$61*($A83/1000)+Data!$V$62*($A83/1000)^2+Data!$V$63*($A83/1000)^3+Data!$V$64*($A83/1000)^4+Data!$V$65*($A83/1000)^5+Data!$V$66*($A83/1000)^6+Data!$V$67*($A83/1000)^7))))</f>
        <v>0.83132861046635309</v>
      </c>
    </row>
    <row r="84" spans="1:3" x14ac:dyDescent="0.3">
      <c r="A84">
        <f>6.098773*(29979200000/1000000000)</f>
        <v>182.83633552159998</v>
      </c>
      <c r="B84">
        <v>6.9999999999999999E-4</v>
      </c>
      <c r="C84">
        <f>MAX(0,(-B84+1/EXP((Data!$M$58*2.54)*(Data!$V$60+Data!$V$61*($A84/1000)+Data!$V$62*($A84/1000)^2+Data!$V$63*($A84/1000)^3+Data!$V$64*($A84/1000)^4+Data!$V$65*($A84/1000)^5+Data!$V$66*($A84/1000)^6+Data!$V$67*($A84/1000)^7))))</f>
        <v>0.82887619788829436</v>
      </c>
    </row>
    <row r="85" spans="1:3" x14ac:dyDescent="0.3">
      <c r="A85">
        <f>6.149176*(29979200000/1000000000)</f>
        <v>184.34737713920001</v>
      </c>
      <c r="B85">
        <v>1.32E-3</v>
      </c>
      <c r="C85">
        <f>MAX(0,(-B85+1/EXP((Data!$M$58*2.54)*(Data!$V$60+Data!$V$61*($A85/1000)+Data!$V$62*($A85/1000)^2+Data!$V$63*($A85/1000)^3+Data!$V$64*($A85/1000)^4+Data!$V$65*($A85/1000)^5+Data!$V$66*($A85/1000)^6+Data!$V$67*($A85/1000)^7))))</f>
        <v>0.82643217118589773</v>
      </c>
    </row>
    <row r="86" spans="1:3" x14ac:dyDescent="0.3">
      <c r="A86">
        <f>6.199579*(29979200000/1000000000)</f>
        <v>185.85841875679998</v>
      </c>
      <c r="B86">
        <v>4.6999999999999999E-4</v>
      </c>
      <c r="C86">
        <f>MAX(0,(-B86+1/EXP((Data!$M$58*2.54)*(Data!$V$60+Data!$V$61*($A86/1000)+Data!$V$62*($A86/1000)^2+Data!$V$63*($A86/1000)^3+Data!$V$64*($A86/1000)^4+Data!$V$65*($A86/1000)^5+Data!$V$66*($A86/1000)^6+Data!$V$67*($A86/1000)^7))))</f>
        <v>0.82546649173053122</v>
      </c>
    </row>
    <row r="87" spans="1:3" x14ac:dyDescent="0.3">
      <c r="A87">
        <f>6.249982*(29979200000/1000000000)</f>
        <v>187.36946037440003</v>
      </c>
      <c r="B87">
        <v>3.0000000000000001E-5</v>
      </c>
      <c r="C87">
        <f>MAX(0,(-B87+1/EXP((Data!$M$58*2.54)*(Data!$V$60+Data!$V$61*($A87/1000)+Data!$V$62*($A87/1000)^2+Data!$V$63*($A87/1000)^3+Data!$V$64*($A87/1000)^4+Data!$V$65*($A87/1000)^5+Data!$V$66*($A87/1000)^6+Data!$V$67*($A87/1000)^7))))</f>
        <v>0.82409912109431138</v>
      </c>
    </row>
    <row r="88" spans="1:3" x14ac:dyDescent="0.3">
      <c r="A88">
        <f>6.300385*(29979200000/1000000000)</f>
        <v>188.88050199200001</v>
      </c>
      <c r="B88">
        <v>0</v>
      </c>
      <c r="C88">
        <f>MAX(0,(-B88+1/EXP((Data!$M$58*2.54)*(Data!$V$60+Data!$V$61*($A88/1000)+Data!$V$62*($A88/1000)^2+Data!$V$63*($A88/1000)^3+Data!$V$64*($A88/1000)^4+Data!$V$65*($A88/1000)^5+Data!$V$66*($A88/1000)^6+Data!$V$67*($A88/1000)^7))))</f>
        <v>0.82233002104888819</v>
      </c>
    </row>
    <row r="89" spans="1:3" x14ac:dyDescent="0.3">
      <c r="A89">
        <f>6.350788*(29979200000/1000000000)</f>
        <v>190.39154360959998</v>
      </c>
      <c r="B89">
        <v>0</v>
      </c>
      <c r="C89">
        <f>MAX(0,(-B89+1/EXP((Data!$M$58*2.54)*(Data!$V$60+Data!$V$61*($A89/1000)+Data!$V$62*($A89/1000)^2+Data!$V$63*($A89/1000)^3+Data!$V$64*($A89/1000)^4+Data!$V$65*($A89/1000)^5+Data!$V$66*($A89/1000)^6+Data!$V$67*($A89/1000)^7))))</f>
        <v>0.82053915356423213</v>
      </c>
    </row>
    <row r="90" spans="1:3" x14ac:dyDescent="0.3">
      <c r="A90">
        <f>6.401191*(29979200000/1000000000)</f>
        <v>191.90258522720001</v>
      </c>
      <c r="B90">
        <v>0</v>
      </c>
      <c r="C90">
        <f>MAX(0,(-B90+1/EXP((Data!$M$58*2.54)*(Data!$V$60+Data!$V$61*($A90/1000)+Data!$V$62*($A90/1000)^2+Data!$V$63*($A90/1000)^3+Data!$V$64*($A90/1000)^4+Data!$V$65*($A90/1000)^5+Data!$V$66*($A90/1000)^6+Data!$V$67*($A90/1000)^7))))</f>
        <v>0.81875648080743391</v>
      </c>
    </row>
    <row r="91" spans="1:3" x14ac:dyDescent="0.3">
      <c r="A91">
        <f>6.451594*(29979200000/1000000000)</f>
        <v>193.41362684480001</v>
      </c>
      <c r="B91">
        <v>5.8E-4</v>
      </c>
      <c r="C91">
        <f>MAX(0,(-B91+1/EXP((Data!$M$58*2.54)*(Data!$V$60+Data!$V$61*($A91/1000)+Data!$V$62*($A91/1000)^2+Data!$V$63*($A91/1000)^3+Data!$V$64*($A91/1000)^4+Data!$V$65*($A91/1000)^5+Data!$V$66*($A91/1000)^6+Data!$V$67*($A91/1000)^7))))</f>
        <v>0.8164019651415102</v>
      </c>
    </row>
    <row r="92" spans="1:3" x14ac:dyDescent="0.3">
      <c r="A92">
        <f>6.501997*(29979200000/1000000000)</f>
        <v>194.92466846240004</v>
      </c>
      <c r="B92">
        <v>1.0300000000000001E-3</v>
      </c>
      <c r="C92">
        <f>MAX(0,(-B92+1/EXP((Data!$M$58*2.54)*(Data!$V$60+Data!$V$61*($A92/1000)+Data!$V$62*($A92/1000)^2+Data!$V$63*($A92/1000)^3+Data!$V$64*($A92/1000)^4+Data!$V$65*($A92/1000)^5+Data!$V$66*($A92/1000)^6+Data!$V$67*($A92/1000)^7))))</f>
        <v>0.81418556912421836</v>
      </c>
    </row>
    <row r="93" spans="1:3" x14ac:dyDescent="0.3">
      <c r="A93">
        <f>6.5524*(29979200000/1000000000)</f>
        <v>196.43571008000001</v>
      </c>
      <c r="B93">
        <v>2.7E-4</v>
      </c>
      <c r="C93">
        <f>MAX(0,(-B93+1/EXP((Data!$M$58*2.54)*(Data!$V$60+Data!$V$61*($A93/1000)+Data!$V$62*($A93/1000)^2+Data!$V$63*($A93/1000)^3+Data!$V$64*($A93/1000)^4+Data!$V$65*($A93/1000)^5+Data!$V$66*($A93/1000)^6+Data!$V$67*($A93/1000)^7))))</f>
        <v>0.81318725550687865</v>
      </c>
    </row>
    <row r="94" spans="1:3" x14ac:dyDescent="0.3">
      <c r="A94">
        <f>6.602803*(29979200000/1000000000)</f>
        <v>197.94675169759998</v>
      </c>
      <c r="B94">
        <v>0</v>
      </c>
      <c r="C94">
        <f>MAX(0,(-B94+1/EXP((Data!$M$58*2.54)*(Data!$V$60+Data!$V$61*($A94/1000)+Data!$V$62*($A94/1000)^2+Data!$V$63*($A94/1000)^3+Data!$V$64*($A94/1000)^4+Data!$V$65*($A94/1000)^5+Data!$V$66*($A94/1000)^6+Data!$V$67*($A94/1000)^7))))</f>
        <v>0.81170698723320456</v>
      </c>
    </row>
    <row r="95" spans="1:3" x14ac:dyDescent="0.3">
      <c r="A95">
        <f>6.653206*(29979200000/1000000000)</f>
        <v>199.45779331520001</v>
      </c>
      <c r="B95">
        <v>5.4000000000000001E-4</v>
      </c>
      <c r="C95">
        <f>MAX(0,(-B95+1/EXP((Data!$M$58*2.54)*(Data!$V$60+Data!$V$61*($A95/1000)+Data!$V$62*($A95/1000)^2+Data!$V$63*($A95/1000)^3+Data!$V$64*($A95/1000)^4+Data!$V$65*($A95/1000)^5+Data!$V$66*($A95/1000)^6+Data!$V$67*($A95/1000)^7))))</f>
        <v>0.80942472743814187</v>
      </c>
    </row>
    <row r="96" spans="1:3" x14ac:dyDescent="0.3">
      <c r="A96">
        <f>6.703609*(29979200000/1000000000)</f>
        <v>200.96883493280001</v>
      </c>
      <c r="B96">
        <v>9.3000000000000005E-4</v>
      </c>
      <c r="C96">
        <f>MAX(0,(-B96+1/EXP((Data!$M$58*2.54)*(Data!$V$60+Data!$V$61*($A96/1000)+Data!$V$62*($A96/1000)^2+Data!$V$63*($A96/1000)^3+Data!$V$64*($A96/1000)^4+Data!$V$65*($A96/1000)^5+Data!$V$66*($A96/1000)^6+Data!$V$67*($A96/1000)^7))))</f>
        <v>0.80730043944671404</v>
      </c>
    </row>
    <row r="97" spans="1:3" x14ac:dyDescent="0.3">
      <c r="A97">
        <f>6.754012*(29979200000/1000000000)</f>
        <v>202.47987655039998</v>
      </c>
      <c r="B97">
        <v>2.7E-4</v>
      </c>
      <c r="C97">
        <f>MAX(0,(-B97+1/EXP((Data!$M$58*2.54)*(Data!$V$60+Data!$V$61*($A97/1000)+Data!$V$62*($A97/1000)^2+Data!$V$63*($A97/1000)^3+Data!$V$64*($A97/1000)^4+Data!$V$65*($A97/1000)^5+Data!$V$66*($A97/1000)^6+Data!$V$67*($A97/1000)^7))))</f>
        <v>0.80623408677287645</v>
      </c>
    </row>
    <row r="98" spans="1:3" x14ac:dyDescent="0.3">
      <c r="A98">
        <f>6.804415*(29979200000/1000000000)</f>
        <v>203.99091816800001</v>
      </c>
      <c r="B98">
        <v>4.6000000000000001E-4</v>
      </c>
      <c r="C98">
        <f>MAX(0,(-B98+1/EXP((Data!$M$58*2.54)*(Data!$V$60+Data!$V$61*($A98/1000)+Data!$V$62*($A98/1000)^2+Data!$V$63*($A98/1000)^3+Data!$V$64*($A98/1000)^4+Data!$V$65*($A98/1000)^5+Data!$V$66*($A98/1000)^6+Data!$V$67*($A98/1000)^7))))</f>
        <v>0.80432563311837868</v>
      </c>
    </row>
    <row r="99" spans="1:3" x14ac:dyDescent="0.3">
      <c r="A99">
        <f>6.854818*(29979200000/1000000000)</f>
        <v>205.50195978559998</v>
      </c>
      <c r="B99">
        <v>8.3000000000000001E-4</v>
      </c>
      <c r="C99">
        <f>MAX(0,(-B99+1/EXP((Data!$M$58*2.54)*(Data!$V$60+Data!$V$61*($A99/1000)+Data!$V$62*($A99/1000)^2+Data!$V$63*($A99/1000)^3+Data!$V$64*($A99/1000)^4+Data!$V$65*($A99/1000)^5+Data!$V$66*($A99/1000)^6+Data!$V$67*($A99/1000)^7))))</f>
        <v>0.80224504237163274</v>
      </c>
    </row>
    <row r="100" spans="1:3" x14ac:dyDescent="0.3">
      <c r="A100">
        <f>6.905221*(29979200000/1000000000)</f>
        <v>207.01300140320001</v>
      </c>
      <c r="B100">
        <v>7.1000000000000002E-4</v>
      </c>
      <c r="C100">
        <f>MAX(0,(-B100+1/EXP((Data!$M$58*2.54)*(Data!$V$60+Data!$V$61*($A100/1000)+Data!$V$62*($A100/1000)^2+Data!$V$63*($A100/1000)^3+Data!$V$64*($A100/1000)^4+Data!$V$65*($A100/1000)^5+Data!$V$66*($A100/1000)^6+Data!$V$67*($A100/1000)^7))))</f>
        <v>0.80066227860659112</v>
      </c>
    </row>
    <row r="101" spans="1:3" x14ac:dyDescent="0.3">
      <c r="A101">
        <f>6.955624*(29979200000/1000000000)</f>
        <v>208.52404302080001</v>
      </c>
      <c r="B101">
        <v>8.8999999999999995E-4</v>
      </c>
      <c r="C101">
        <f>MAX(0,(-B101+1/EXP((Data!$M$58*2.54)*(Data!$V$60+Data!$V$61*($A101/1000)+Data!$V$62*($A101/1000)^2+Data!$V$63*($A101/1000)^3+Data!$V$64*($A101/1000)^4+Data!$V$65*($A101/1000)^5+Data!$V$66*($A101/1000)^6+Data!$V$67*($A101/1000)^7))))</f>
        <v>0.79878730608163029</v>
      </c>
    </row>
    <row r="102" spans="1:3" x14ac:dyDescent="0.3">
      <c r="A102">
        <f>7.006027*(29979200000/1000000000)</f>
        <v>210.03508463839998</v>
      </c>
      <c r="B102">
        <v>1.15E-3</v>
      </c>
      <c r="C102">
        <f>MAX(0,(-B102+1/EXP((Data!$M$58*2.54)*(Data!$V$60+Data!$V$61*($A102/1000)+Data!$V$62*($A102/1000)^2+Data!$V$63*($A102/1000)^3+Data!$V$64*($A102/1000)^4+Data!$V$65*($A102/1000)^5+Data!$V$66*($A102/1000)^6+Data!$V$67*($A102/1000)^7))))</f>
        <v>0.79684008923844274</v>
      </c>
    </row>
    <row r="103" spans="1:3" x14ac:dyDescent="0.3">
      <c r="A103">
        <f>7.05643*(29979200000/1000000000)</f>
        <v>211.54612625600001</v>
      </c>
      <c r="B103">
        <v>8.8999999999999995E-4</v>
      </c>
      <c r="C103">
        <f>MAX(0,(-B103+1/EXP((Data!$M$58*2.54)*(Data!$V$60+Data!$V$61*($A103/1000)+Data!$V$62*($A103/1000)^2+Data!$V$63*($A103/1000)^3+Data!$V$64*($A103/1000)^4+Data!$V$65*($A103/1000)^5+Data!$V$66*($A103/1000)^6+Data!$V$67*($A103/1000)^7))))</f>
        <v>0.79542059270093723</v>
      </c>
    </row>
    <row r="104" spans="1:3" x14ac:dyDescent="0.3">
      <c r="A104">
        <f>7.106833*(29979200000/1000000000)</f>
        <v>213.05716787359998</v>
      </c>
      <c r="B104">
        <v>1.34E-3</v>
      </c>
      <c r="C104">
        <f>MAX(0,(-B104+1/EXP((Data!$M$58*2.54)*(Data!$V$60+Data!$V$61*($A104/1000)+Data!$V$62*($A104/1000)^2+Data!$V$63*($A104/1000)^3+Data!$V$64*($A104/1000)^4+Data!$V$65*($A104/1000)^5+Data!$V$66*($A104/1000)^6+Data!$V$67*($A104/1000)^7))))</f>
        <v>0.79329878127414422</v>
      </c>
    </row>
    <row r="105" spans="1:3" x14ac:dyDescent="0.3">
      <c r="A105">
        <f>7.157236*(29979200000/1000000000)</f>
        <v>214.56820949120001</v>
      </c>
      <c r="B105">
        <v>2.2200000000000002E-3</v>
      </c>
      <c r="C105">
        <f>MAX(0,(-B105+1/EXP((Data!$M$58*2.54)*(Data!$V$60+Data!$V$61*($A105/1000)+Data!$V$62*($A105/1000)^2+Data!$V$63*($A105/1000)^3+Data!$V$64*($A105/1000)^4+Data!$V$65*($A105/1000)^5+Data!$V$66*($A105/1000)^6+Data!$V$67*($A105/1000)^7))))</f>
        <v>0.79075461994313012</v>
      </c>
    </row>
    <row r="106" spans="1:3" x14ac:dyDescent="0.3">
      <c r="A106">
        <f>7.207639*(29979200000/1000000000)</f>
        <v>216.07925110880001</v>
      </c>
      <c r="B106">
        <v>3.2399999999999998E-3</v>
      </c>
      <c r="C106">
        <f>MAX(0,(-B106+1/EXP((Data!$M$58*2.54)*(Data!$V$60+Data!$V$61*($A106/1000)+Data!$V$62*($A106/1000)^2+Data!$V$63*($A106/1000)^3+Data!$V$64*($A106/1000)^4+Data!$V$65*($A106/1000)^5+Data!$V$66*($A106/1000)^6+Data!$V$67*($A106/1000)^7))))</f>
        <v>0.78807807387191897</v>
      </c>
    </row>
    <row r="107" spans="1:3" x14ac:dyDescent="0.3">
      <c r="A107">
        <f>7.258042*(29979200000/1000000000)</f>
        <v>217.59029272639998</v>
      </c>
      <c r="B107">
        <v>5.1399999999999996E-3</v>
      </c>
      <c r="C107">
        <f>MAX(0,(-B107+1/EXP((Data!$M$58*2.54)*(Data!$V$60+Data!$V$61*($A107/1000)+Data!$V$62*($A107/1000)^2+Data!$V$63*($A107/1000)^3+Data!$V$64*($A107/1000)^4+Data!$V$65*($A107/1000)^5+Data!$V$66*($A107/1000)^6+Data!$V$67*($A107/1000)^7))))</f>
        <v>0.78452910840241974</v>
      </c>
    </row>
    <row r="108" spans="1:3" x14ac:dyDescent="0.3">
      <c r="A108">
        <f>7.308445*(29979200000/1000000000)</f>
        <v>219.10133434400001</v>
      </c>
      <c r="B108">
        <v>7.6600000000000001E-3</v>
      </c>
      <c r="C108">
        <f>MAX(0,(-B108+1/EXP((Data!$M$58*2.54)*(Data!$V$60+Data!$V$61*($A108/1000)+Data!$V$62*($A108/1000)^2+Data!$V$63*($A108/1000)^3+Data!$V$64*($A108/1000)^4+Data!$V$65*($A108/1000)^5+Data!$V$66*($A108/1000)^6+Data!$V$67*($A108/1000)^7))))</f>
        <v>0.78036768905336218</v>
      </c>
    </row>
    <row r="109" spans="1:3" x14ac:dyDescent="0.3">
      <c r="A109">
        <f>7.358848*(29979200000/1000000000)</f>
        <v>220.61237596159998</v>
      </c>
      <c r="B109">
        <v>8.9899999999999997E-3</v>
      </c>
      <c r="C109">
        <f>MAX(0,(-B109+1/EXP((Data!$M$58*2.54)*(Data!$V$60+Data!$V$61*($A109/1000)+Data!$V$62*($A109/1000)^2+Data!$V$63*($A109/1000)^3+Data!$V$64*($A109/1000)^4+Data!$V$65*($A109/1000)^5+Data!$V$66*($A109/1000)^6+Data!$V$67*($A109/1000)^7))))</f>
        <v>0.77740378151923917</v>
      </c>
    </row>
    <row r="110" spans="1:3" x14ac:dyDescent="0.3">
      <c r="A110">
        <f>7.409251*(29979200000/1000000000)</f>
        <v>222.12341757920004</v>
      </c>
      <c r="B110">
        <v>9.9100000000000004E-3</v>
      </c>
      <c r="C110">
        <f>MAX(0,(-B110+1/EXP((Data!$M$58*2.54)*(Data!$V$60+Data!$V$61*($A110/1000)+Data!$V$62*($A110/1000)^2+Data!$V$63*($A110/1000)^3+Data!$V$64*($A110/1000)^4+Data!$V$65*($A110/1000)^5+Data!$V$66*($A110/1000)^6+Data!$V$67*($A110/1000)^7))))</f>
        <v>0.77485735166925629</v>
      </c>
    </row>
    <row r="111" spans="1:3" x14ac:dyDescent="0.3">
      <c r="A111">
        <f>7.459654*(29979200000/1000000000)</f>
        <v>223.63445919680001</v>
      </c>
      <c r="B111">
        <v>1.5820000000000001E-2</v>
      </c>
      <c r="C111">
        <f>MAX(0,(-B111+1/EXP((Data!$M$58*2.54)*(Data!$V$60+Data!$V$61*($A111/1000)+Data!$V$62*($A111/1000)^2+Data!$V$63*($A111/1000)^3+Data!$V$64*($A111/1000)^4+Data!$V$65*($A111/1000)^5+Data!$V$66*($A111/1000)^6+Data!$V$67*($A111/1000)^7))))</f>
        <v>0.76732836554628769</v>
      </c>
    </row>
    <row r="112" spans="1:3" x14ac:dyDescent="0.3">
      <c r="A112">
        <f>7.510057*(29979200000/1000000000)</f>
        <v>225.14550081439998</v>
      </c>
      <c r="B112">
        <v>2.955E-2</v>
      </c>
      <c r="C112">
        <f>MAX(0,(-B112+1/EXP((Data!$M$58*2.54)*(Data!$V$60+Data!$V$61*($A112/1000)+Data!$V$62*($A112/1000)^2+Data!$V$63*($A112/1000)^3+Data!$V$64*($A112/1000)^4+Data!$V$65*($A112/1000)^5+Data!$V$66*($A112/1000)^6+Data!$V$67*($A112/1000)^7))))</f>
        <v>0.7519867893658394</v>
      </c>
    </row>
    <row r="113" spans="1:3" x14ac:dyDescent="0.3">
      <c r="A113">
        <f>7.56046*(29979200000/1000000000)</f>
        <v>226.65654243200001</v>
      </c>
      <c r="B113">
        <v>4.3209999999999998E-2</v>
      </c>
      <c r="C113">
        <f>MAX(0,(-B113+1/EXP((Data!$M$58*2.54)*(Data!$V$60+Data!$V$61*($A113/1000)+Data!$V$62*($A113/1000)^2+Data!$V$63*($A113/1000)^3+Data!$V$64*($A113/1000)^4+Data!$V$65*($A113/1000)^5+Data!$V$66*($A113/1000)^6+Data!$V$67*($A113/1000)^7))))</f>
        <v>0.7367225895150189</v>
      </c>
    </row>
    <row r="114" spans="1:3" x14ac:dyDescent="0.3">
      <c r="A114">
        <f>7.610863*(29979200000/1000000000)</f>
        <v>228.16758404960001</v>
      </c>
      <c r="B114">
        <v>3.6420000000000001E-2</v>
      </c>
      <c r="C114">
        <f>MAX(0,(-B114+1/EXP((Data!$M$58*2.54)*(Data!$V$60+Data!$V$61*($A114/1000)+Data!$V$62*($A114/1000)^2+Data!$V$63*($A114/1000)^3+Data!$V$64*($A114/1000)^4+Data!$V$65*($A114/1000)^5+Data!$V$66*($A114/1000)^6+Data!$V$67*($A114/1000)^7))))</f>
        <v>0.74191573255151289</v>
      </c>
    </row>
    <row r="115" spans="1:3" x14ac:dyDescent="0.3">
      <c r="A115">
        <f>7.661266*(29979200000/1000000000)</f>
        <v>229.67862566720004</v>
      </c>
      <c r="B115">
        <v>1.806E-2</v>
      </c>
      <c r="C115">
        <f>MAX(0,(-B115+1/EXP((Data!$M$58*2.54)*(Data!$V$60+Data!$V$61*($A115/1000)+Data!$V$62*($A115/1000)^2+Data!$V$63*($A115/1000)^3+Data!$V$64*($A115/1000)^4+Data!$V$65*($A115/1000)^5+Data!$V$66*($A115/1000)^6+Data!$V$67*($A115/1000)^7))))</f>
        <v>0.75868618520256947</v>
      </c>
    </row>
    <row r="116" spans="1:3" x14ac:dyDescent="0.3">
      <c r="A116">
        <f>7.711669*(29979200000/1000000000)</f>
        <v>231.18966728480001</v>
      </c>
      <c r="B116">
        <v>6.3600000000000002E-3</v>
      </c>
      <c r="C116">
        <f>MAX(0,(-B116+1/EXP((Data!$M$58*2.54)*(Data!$V$60+Data!$V$61*($A116/1000)+Data!$V$62*($A116/1000)^2+Data!$V$63*($A116/1000)^3+Data!$V$64*($A116/1000)^4+Data!$V$65*($A116/1000)^5+Data!$V$66*($A116/1000)^6+Data!$V$67*($A116/1000)^7))))</f>
        <v>0.76880391436398865</v>
      </c>
    </row>
    <row r="117" spans="1:3" x14ac:dyDescent="0.3">
      <c r="A117">
        <f>7.762072*(29979200000/1000000000)</f>
        <v>232.70070890239998</v>
      </c>
      <c r="B117">
        <v>2.3999999999999998E-3</v>
      </c>
      <c r="C117">
        <f>MAX(0,(-B117+1/EXP((Data!$M$58*2.54)*(Data!$V$60+Data!$V$61*($A117/1000)+Data!$V$62*($A117/1000)^2+Data!$V$63*($A117/1000)^3+Data!$V$64*($A117/1000)^4+Data!$V$65*($A117/1000)^5+Data!$V$66*($A117/1000)^6+Data!$V$67*($A117/1000)^7))))</f>
        <v>0.77118888709911926</v>
      </c>
    </row>
    <row r="118" spans="1:3" x14ac:dyDescent="0.3">
      <c r="A118">
        <f>7.812475*(29979200000/1000000000)</f>
        <v>234.21175052000001</v>
      </c>
      <c r="B118">
        <v>1.09E-3</v>
      </c>
      <c r="C118">
        <f>MAX(0,(-B118+1/EXP((Data!$M$58*2.54)*(Data!$V$60+Data!$V$61*($A118/1000)+Data!$V$62*($A118/1000)^2+Data!$V$63*($A118/1000)^3+Data!$V$64*($A118/1000)^4+Data!$V$65*($A118/1000)^5+Data!$V$66*($A118/1000)^6+Data!$V$67*($A118/1000)^7))))</f>
        <v>0.77093107063786159</v>
      </c>
    </row>
    <row r="119" spans="1:3" x14ac:dyDescent="0.3">
      <c r="A119">
        <f>7.862878*(29979200000/1000000000)</f>
        <v>235.72279213760001</v>
      </c>
      <c r="B119">
        <v>5.1999999999999995E-4</v>
      </c>
      <c r="C119">
        <f>MAX(0,(-B119+1/EXP((Data!$M$58*2.54)*(Data!$V$60+Data!$V$61*($A119/1000)+Data!$V$62*($A119/1000)^2+Data!$V$63*($A119/1000)^3+Data!$V$64*($A119/1000)^4+Data!$V$65*($A119/1000)^5+Data!$V$66*($A119/1000)^6+Data!$V$67*($A119/1000)^7))))</f>
        <v>0.76994043237567755</v>
      </c>
    </row>
    <row r="120" spans="1:3" x14ac:dyDescent="0.3">
      <c r="A120">
        <f>7.913281*(29979200000/1000000000)</f>
        <v>237.23383375519998</v>
      </c>
      <c r="B120">
        <v>3.8000000000000002E-4</v>
      </c>
      <c r="C120">
        <f>MAX(0,(-B120+1/EXP((Data!$M$58*2.54)*(Data!$V$60+Data!$V$61*($A120/1000)+Data!$V$62*($A120/1000)^2+Data!$V$63*($A120/1000)^3+Data!$V$64*($A120/1000)^4+Data!$V$65*($A120/1000)^5+Data!$V$66*($A120/1000)^6+Data!$V$67*($A120/1000)^7))))</f>
        <v>0.7685269398726059</v>
      </c>
    </row>
    <row r="121" spans="1:3" x14ac:dyDescent="0.3">
      <c r="A121">
        <f>7.963684*(29979200000/1000000000)</f>
        <v>238.74487537280001</v>
      </c>
      <c r="B121">
        <v>3.2000000000000003E-4</v>
      </c>
      <c r="C121">
        <f>MAX(0,(-B121+1/EXP((Data!$M$58*2.54)*(Data!$V$60+Data!$V$61*($A121/1000)+Data!$V$62*($A121/1000)^2+Data!$V$63*($A121/1000)^3+Data!$V$64*($A121/1000)^4+Data!$V$65*($A121/1000)^5+Data!$V$66*($A121/1000)^6+Data!$V$67*($A121/1000)^7))))</f>
        <v>0.76704056085228578</v>
      </c>
    </row>
    <row r="122" spans="1:3" x14ac:dyDescent="0.3">
      <c r="A122">
        <f>8.014087*(29979200000/1000000000)</f>
        <v>240.25591699039998</v>
      </c>
      <c r="B122">
        <v>2.9999999999999997E-4</v>
      </c>
      <c r="C122">
        <f>MAX(0,(-B122+1/EXP((Data!$M$58*2.54)*(Data!$V$60+Data!$V$61*($A122/1000)+Data!$V$62*($A122/1000)^2+Data!$V$63*($A122/1000)^3+Data!$V$64*($A122/1000)^4+Data!$V$65*($A122/1000)^5+Data!$V$66*($A122/1000)^6+Data!$V$67*($A122/1000)^7))))</f>
        <v>0.76552126320098468</v>
      </c>
    </row>
    <row r="123" spans="1:3" x14ac:dyDescent="0.3">
      <c r="A123">
        <f>8.06449*(29979200000/1000000000)</f>
        <v>241.76695860800001</v>
      </c>
      <c r="B123">
        <v>3.1E-4</v>
      </c>
      <c r="C123">
        <f>MAX(0,(-B123+1/EXP((Data!$M$58*2.54)*(Data!$V$60+Data!$V$61*($A123/1000)+Data!$V$62*($A123/1000)^2+Data!$V$63*($A123/1000)^3+Data!$V$64*($A123/1000)^4+Data!$V$65*($A123/1000)^5+Data!$V$66*($A123/1000)^6+Data!$V$67*($A123/1000)^7))))</f>
        <v>0.76397901496663367</v>
      </c>
    </row>
    <row r="124" spans="1:3" x14ac:dyDescent="0.3">
      <c r="A124">
        <f>8.114893*(29979200000/1000000000)</f>
        <v>243.27800022560001</v>
      </c>
      <c r="B124">
        <v>4.4999999999999999E-4</v>
      </c>
      <c r="C124">
        <f>MAX(0,(-B124+1/EXP((Data!$M$58*2.54)*(Data!$V$60+Data!$V$61*($A124/1000)+Data!$V$62*($A124/1000)^2+Data!$V$63*($A124/1000)^3+Data!$V$64*($A124/1000)^4+Data!$V$65*($A124/1000)^5+Data!$V$66*($A124/1000)^6+Data!$V$67*($A124/1000)^7))))</f>
        <v>0.76231378435786912</v>
      </c>
    </row>
    <row r="125" spans="1:3" x14ac:dyDescent="0.3">
      <c r="A125">
        <f>8.165296*(29979200000/1000000000)</f>
        <v>244.78904184319998</v>
      </c>
      <c r="B125">
        <v>4.2999999999999999E-4</v>
      </c>
      <c r="C125">
        <f>MAX(0,(-B125+1/EXP((Data!$M$58*2.54)*(Data!$V$60+Data!$V$61*($A125/1000)+Data!$V$62*($A125/1000)^2+Data!$V$63*($A125/1000)^3+Data!$V$64*($A125/1000)^4+Data!$V$65*($A125/1000)^5+Data!$V$66*($A125/1000)^6+Data!$V$67*($A125/1000)^7))))</f>
        <v>0.76081553974307925</v>
      </c>
    </row>
    <row r="126" spans="1:3" x14ac:dyDescent="0.3">
      <c r="A126">
        <f>8.215699*(29979200000/1000000000)</f>
        <v>246.30008346080001</v>
      </c>
      <c r="B126">
        <v>2.4000000000000001E-4</v>
      </c>
      <c r="C126">
        <f>MAX(0,(-B126+1/EXP((Data!$M$58*2.54)*(Data!$V$60+Data!$V$61*($A126/1000)+Data!$V$62*($A126/1000)^2+Data!$V$63*($A126/1000)^3+Data!$V$64*($A126/1000)^4+Data!$V$65*($A126/1000)^5+Data!$V$66*($A126/1000)^6+Data!$V$67*($A126/1000)^7))))</f>
        <v>0.75949424964945855</v>
      </c>
    </row>
    <row r="127" spans="1:3" x14ac:dyDescent="0.3">
      <c r="A127">
        <f>8.266102*(29979200000/1000000000)</f>
        <v>247.81112507839998</v>
      </c>
      <c r="B127">
        <v>6.0000000000000002E-5</v>
      </c>
      <c r="C127">
        <f>MAX(0,(-B127+1/EXP((Data!$M$58*2.54)*(Data!$V$60+Data!$V$61*($A127/1000)+Data!$V$62*($A127/1000)^2+Data!$V$63*($A127/1000)^3+Data!$V$64*($A127/1000)^4+Data!$V$65*($A127/1000)^5+Data!$V$66*($A127/1000)^6+Data!$V$67*($A127/1000)^7))))</f>
        <v>0.75816988276206709</v>
      </c>
    </row>
    <row r="128" spans="1:3" x14ac:dyDescent="0.3">
      <c r="A128">
        <f>8.316505*(29979200000/1000000000)</f>
        <v>249.32216669600001</v>
      </c>
      <c r="B128">
        <v>3.0000000000000001E-5</v>
      </c>
      <c r="C128">
        <f>MAX(0,(-B128+1/EXP((Data!$M$58*2.54)*(Data!$V$60+Data!$V$61*($A128/1000)+Data!$V$62*($A128/1000)^2+Data!$V$63*($A128/1000)^3+Data!$V$64*($A128/1000)^4+Data!$V$65*($A128/1000)^5+Data!$V$66*($A128/1000)^6+Data!$V$67*($A128/1000)^7))))</f>
        <v>0.75670240792289589</v>
      </c>
    </row>
    <row r="129" spans="1:3" x14ac:dyDescent="0.3">
      <c r="A129">
        <f>8.366908*(29979200000/1000000000)</f>
        <v>250.83320831360001</v>
      </c>
      <c r="B129">
        <v>0</v>
      </c>
      <c r="C129">
        <f>MAX(0,(-B129+1/EXP((Data!$M$58*2.54)*(Data!$V$60+Data!$V$61*($A129/1000)+Data!$V$62*($A129/1000)^2+Data!$V$63*($A129/1000)^3+Data!$V$64*($A129/1000)^4+Data!$V$65*($A129/1000)^5+Data!$V$66*($A129/1000)^6+Data!$V$67*($A129/1000)^7))))</f>
        <v>0.75524179412993919</v>
      </c>
    </row>
    <row r="130" spans="1:3" x14ac:dyDescent="0.3">
      <c r="A130">
        <f>8.417311*(29979200000/1000000000)</f>
        <v>252.34424993119998</v>
      </c>
      <c r="B130">
        <v>0</v>
      </c>
      <c r="C130">
        <f>MAX(0,(-B130+1/EXP((Data!$M$58*2.54)*(Data!$V$60+Data!$V$61*($A130/1000)+Data!$V$62*($A130/1000)^2+Data!$V$63*($A130/1000)^3+Data!$V$64*($A130/1000)^4+Data!$V$65*($A130/1000)^5+Data!$V$66*($A130/1000)^6+Data!$V$67*($A130/1000)^7))))</f>
        <v>0.75375801053627156</v>
      </c>
    </row>
    <row r="131" spans="1:3" x14ac:dyDescent="0.3">
      <c r="A131">
        <f>8.467714*(29979200000/1000000000)</f>
        <v>253.85529154880001</v>
      </c>
      <c r="B131">
        <v>0</v>
      </c>
      <c r="C131">
        <f>MAX(0,(-B131+1/EXP((Data!$M$58*2.54)*(Data!$V$60+Data!$V$61*($A131/1000)+Data!$V$62*($A131/1000)^2+Data!$V$63*($A131/1000)^3+Data!$V$64*($A131/1000)^4+Data!$V$65*($A131/1000)^5+Data!$V$66*($A131/1000)^6+Data!$V$67*($A131/1000)^7))))</f>
        <v>0.75228102644913208</v>
      </c>
    </row>
    <row r="132" spans="1:3" x14ac:dyDescent="0.3">
      <c r="A132">
        <f>8.518117*(29979200000/1000000000)</f>
        <v>255.36633316639998</v>
      </c>
      <c r="B132">
        <v>2.5999999999999998E-4</v>
      </c>
      <c r="C132">
        <f>MAX(0,(-B132+1/EXP((Data!$M$58*2.54)*(Data!$V$60+Data!$V$61*($A132/1000)+Data!$V$62*($A132/1000)^2+Data!$V$63*($A132/1000)^3+Data!$V$64*($A132/1000)^4+Data!$V$65*($A132/1000)^5+Data!$V$66*($A132/1000)^6+Data!$V$67*($A132/1000)^7))))</f>
        <v>0.75055081132901202</v>
      </c>
    </row>
    <row r="133" spans="1:3" x14ac:dyDescent="0.3">
      <c r="A133">
        <f>8.56852*(29979200000/1000000000)</f>
        <v>256.87737478400004</v>
      </c>
      <c r="B133">
        <v>3.5E-4</v>
      </c>
      <c r="C133">
        <f>MAX(0,(-B133+1/EXP((Data!$M$58*2.54)*(Data!$V$60+Data!$V$61*($A133/1000)+Data!$V$62*($A133/1000)^2+Data!$V$63*($A133/1000)^3+Data!$V$64*($A133/1000)^4+Data!$V$65*($A133/1000)^5+Data!$V$66*($A133/1000)^6+Data!$V$67*($A133/1000)^7))))</f>
        <v>0.74899733478875219</v>
      </c>
    </row>
    <row r="134" spans="1:3" x14ac:dyDescent="0.3">
      <c r="A134">
        <f>8.618923*(29979200000/1000000000)</f>
        <v>258.38841640160001</v>
      </c>
      <c r="B134">
        <v>0</v>
      </c>
      <c r="C134">
        <f>MAX(0,(-B134+1/EXP((Data!$M$58*2.54)*(Data!$V$60+Data!$V$61*($A134/1000)+Data!$V$62*($A134/1000)^2+Data!$V$63*($A134/1000)^3+Data!$V$64*($A134/1000)^4+Data!$V$65*($A134/1000)^5+Data!$V$66*($A134/1000)^6+Data!$V$67*($A134/1000)^7))))</f>
        <v>0.7478905665926423</v>
      </c>
    </row>
    <row r="135" spans="1:3" x14ac:dyDescent="0.3">
      <c r="A135">
        <f>8.669326*(29979200000/1000000000)</f>
        <v>259.89945801919998</v>
      </c>
      <c r="B135">
        <v>0</v>
      </c>
      <c r="C135">
        <f>MAX(0,(-B135+1/EXP((Data!$M$58*2.54)*(Data!$V$60+Data!$V$61*($A135/1000)+Data!$V$62*($A135/1000)^2+Data!$V$63*($A135/1000)^3+Data!$V$64*($A135/1000)^4+Data!$V$65*($A135/1000)^5+Data!$V$66*($A135/1000)^6+Data!$V$67*($A135/1000)^7))))</f>
        <v>0.74644047665552771</v>
      </c>
    </row>
    <row r="136" spans="1:3" x14ac:dyDescent="0.3">
      <c r="A136">
        <f>8.719729*(29979200000/1000000000)</f>
        <v>261.41049963680001</v>
      </c>
      <c r="B136">
        <v>8.0000000000000007E-5</v>
      </c>
      <c r="C136">
        <f>MAX(0,(-B136+1/EXP((Data!$M$58*2.54)*(Data!$V$60+Data!$V$61*($A136/1000)+Data!$V$62*($A136/1000)^2+Data!$V$63*($A136/1000)^3+Data!$V$64*($A136/1000)^4+Data!$V$65*($A136/1000)^5+Data!$V$66*($A136/1000)^6+Data!$V$67*($A136/1000)^7))))</f>
        <v>0.74491703504192208</v>
      </c>
    </row>
    <row r="137" spans="1:3" x14ac:dyDescent="0.3">
      <c r="A137">
        <f>8.770132*(29979200000/1000000000)</f>
        <v>262.92154125439998</v>
      </c>
      <c r="B137">
        <v>3.6999999999999999E-4</v>
      </c>
      <c r="C137">
        <f>MAX(0,(-B137+1/EXP((Data!$M$58*2.54)*(Data!$V$60+Data!$V$61*($A137/1000)+Data!$V$62*($A137/1000)^2+Data!$V$63*($A137/1000)^3+Data!$V$64*($A137/1000)^4+Data!$V$65*($A137/1000)^5+Data!$V$66*($A137/1000)^6+Data!$V$67*($A137/1000)^7))))</f>
        <v>0.74319021196512491</v>
      </c>
    </row>
    <row r="138" spans="1:3" x14ac:dyDescent="0.3">
      <c r="A138">
        <f>8.820535*(29979200000/1000000000)</f>
        <v>264.43258287199995</v>
      </c>
      <c r="B138">
        <v>5.9000000000000003E-4</v>
      </c>
      <c r="C138">
        <f>MAX(0,(-B138+1/EXP((Data!$M$58*2.54)*(Data!$V$60+Data!$V$61*($A138/1000)+Data!$V$62*($A138/1000)^2+Data!$V$63*($A138/1000)^3+Data!$V$64*($A138/1000)^4+Data!$V$65*($A138/1000)^5+Data!$V$66*($A138/1000)^6+Data!$V$67*($A138/1000)^7))))</f>
        <v>0.74153997778634517</v>
      </c>
    </row>
    <row r="139" spans="1:3" x14ac:dyDescent="0.3">
      <c r="A139">
        <f>8.870938*(29979200000/1000000000)</f>
        <v>265.94362448959998</v>
      </c>
      <c r="B139">
        <v>5.5999999999999995E-4</v>
      </c>
      <c r="C139">
        <f>MAX(0,(-B139+1/EXP((Data!$M$58*2.54)*(Data!$V$60+Data!$V$61*($A139/1000)+Data!$V$62*($A139/1000)^2+Data!$V$63*($A139/1000)^3+Data!$V$64*($A139/1000)^4+Data!$V$65*($A139/1000)^5+Data!$V$66*($A139/1000)^6+Data!$V$67*($A139/1000)^7))))</f>
        <v>0.74014630301382989</v>
      </c>
    </row>
    <row r="140" spans="1:3" x14ac:dyDescent="0.3">
      <c r="A140">
        <f>8.921341*(29979200000/1000000000)</f>
        <v>267.45466610720001</v>
      </c>
      <c r="B140">
        <v>5.2999999999999998E-4</v>
      </c>
      <c r="C140">
        <f>MAX(0,(-B140+1/EXP((Data!$M$58*2.54)*(Data!$V$60+Data!$V$61*($A140/1000)+Data!$V$62*($A140/1000)^2+Data!$V$63*($A140/1000)^3+Data!$V$64*($A140/1000)^4+Data!$V$65*($A140/1000)^5+Data!$V$66*($A140/1000)^6+Data!$V$67*($A140/1000)^7))))</f>
        <v>0.7387591583019989</v>
      </c>
    </row>
    <row r="141" spans="1:3" x14ac:dyDescent="0.3">
      <c r="A141">
        <f>8.971744*(29979200000/1000000000)</f>
        <v>268.96570772480004</v>
      </c>
      <c r="B141">
        <v>8.0000000000000007E-5</v>
      </c>
      <c r="C141">
        <f>MAX(0,(-B141+1/EXP((Data!$M$58*2.54)*(Data!$V$60+Data!$V$61*($A141/1000)+Data!$V$62*($A141/1000)^2+Data!$V$63*($A141/1000)^3+Data!$V$64*($A141/1000)^4+Data!$V$65*($A141/1000)^5+Data!$V$66*($A141/1000)^6+Data!$V$67*($A141/1000)^7))))</f>
        <v>0.73779851445058475</v>
      </c>
    </row>
    <row r="142" spans="1:3" x14ac:dyDescent="0.3">
      <c r="A142">
        <f>9.022147*(29979200000/1000000000)</f>
        <v>270.47674934240001</v>
      </c>
      <c r="B142">
        <v>0</v>
      </c>
      <c r="C142">
        <f>MAX(0,(-B142+1/EXP((Data!$M$58*2.54)*(Data!$V$60+Data!$V$61*($A142/1000)+Data!$V$62*($A142/1000)^2+Data!$V$63*($A142/1000)^3+Data!$V$64*($A142/1000)^4+Data!$V$65*($A142/1000)^5+Data!$V$66*($A142/1000)^6+Data!$V$67*($A142/1000)^7))))</f>
        <v>0.73647434240377763</v>
      </c>
    </row>
    <row r="143" spans="1:3" x14ac:dyDescent="0.3">
      <c r="A143">
        <f>9.07255*(29979200000/1000000000)</f>
        <v>271.98779095999998</v>
      </c>
      <c r="B143">
        <v>0</v>
      </c>
      <c r="C143">
        <f>MAX(0,(-B143+1/EXP((Data!$M$58*2.54)*(Data!$V$60+Data!$V$61*($A143/1000)+Data!$V$62*($A143/1000)^2+Data!$V$63*($A143/1000)^3+Data!$V$64*($A143/1000)^4+Data!$V$65*($A143/1000)^5+Data!$V$66*($A143/1000)^6+Data!$V$67*($A143/1000)^7))))</f>
        <v>0.73507661324937623</v>
      </c>
    </row>
    <row r="144" spans="1:3" x14ac:dyDescent="0.3">
      <c r="A144">
        <f>9.122953*(29979200000/1000000000)</f>
        <v>273.49883257760001</v>
      </c>
      <c r="B144">
        <v>1.4999999999999999E-4</v>
      </c>
      <c r="C144">
        <f>MAX(0,(-B144+1/EXP((Data!$M$58*2.54)*(Data!$V$60+Data!$V$61*($A144/1000)+Data!$V$62*($A144/1000)^2+Data!$V$63*($A144/1000)^3+Data!$V$64*($A144/1000)^4+Data!$V$65*($A144/1000)^5+Data!$V$66*($A144/1000)^6+Data!$V$67*($A144/1000)^7))))</f>
        <v>0.73353529821794372</v>
      </c>
    </row>
    <row r="145" spans="1:3" x14ac:dyDescent="0.3">
      <c r="A145">
        <f>9.173356*(29979200000/1000000000)</f>
        <v>275.00987419519998</v>
      </c>
      <c r="B145">
        <v>0</v>
      </c>
      <c r="C145">
        <f>MAX(0,(-B145+1/EXP((Data!$M$58*2.54)*(Data!$V$60+Data!$V$61*($A145/1000)+Data!$V$62*($A145/1000)^2+Data!$V$63*($A145/1000)^3+Data!$V$64*($A145/1000)^4+Data!$V$65*($A145/1000)^5+Data!$V$66*($A145/1000)^6+Data!$V$67*($A145/1000)^7))))</f>
        <v>0.73230036868196868</v>
      </c>
    </row>
    <row r="146" spans="1:3" x14ac:dyDescent="0.3">
      <c r="A146">
        <f>9.223759*(29979200000/1000000000)</f>
        <v>276.52091581280001</v>
      </c>
      <c r="B146">
        <v>3.0000000000000001E-5</v>
      </c>
      <c r="C146">
        <f>MAX(0,(-B146+1/EXP((Data!$M$58*2.54)*(Data!$V$60+Data!$V$61*($A146/1000)+Data!$V$62*($A146/1000)^2+Data!$V$63*($A146/1000)^3+Data!$V$64*($A146/1000)^4+Data!$V$65*($A146/1000)^5+Data!$V$66*($A146/1000)^6+Data!$V$67*($A146/1000)^7))))</f>
        <v>0.73089179615503219</v>
      </c>
    </row>
    <row r="147" spans="1:3" x14ac:dyDescent="0.3">
      <c r="A147">
        <f>9.274162*(29979200000/1000000000)</f>
        <v>278.03195743039998</v>
      </c>
      <c r="B147">
        <v>6.0000000000000002E-5</v>
      </c>
      <c r="C147">
        <f>MAX(0,(-B147+1/EXP((Data!$M$58*2.54)*(Data!$V$60+Data!$V$61*($A147/1000)+Data!$V$62*($A147/1000)^2+Data!$V$63*($A147/1000)^3+Data!$V$64*($A147/1000)^4+Data!$V$65*($A147/1000)^5+Data!$V$66*($A147/1000)^6+Data!$V$67*($A147/1000)^7))))</f>
        <v>0.72948955229097889</v>
      </c>
    </row>
    <row r="148" spans="1:3" x14ac:dyDescent="0.3">
      <c r="A148">
        <f>9.324565*(29979200000/1000000000)</f>
        <v>279.54299904799996</v>
      </c>
      <c r="B148">
        <v>0</v>
      </c>
      <c r="C148">
        <f>MAX(0,(-B148+1/EXP((Data!$M$58*2.54)*(Data!$V$60+Data!$V$61*($A148/1000)+Data!$V$62*($A148/1000)^2+Data!$V$63*($A148/1000)^3+Data!$V$64*($A148/1000)^4+Data!$V$65*($A148/1000)^5+Data!$V$66*($A148/1000)^6+Data!$V$67*($A148/1000)^7))))</f>
        <v>0.72818360888309375</v>
      </c>
    </row>
    <row r="149" spans="1:3" x14ac:dyDescent="0.3">
      <c r="A149">
        <f>9.374968*(29979200000/1000000000)</f>
        <v>281.05404066560004</v>
      </c>
      <c r="B149">
        <v>0</v>
      </c>
      <c r="C149">
        <f>MAX(0,(-B149+1/EXP((Data!$M$58*2.54)*(Data!$V$60+Data!$V$61*($A149/1000)+Data!$V$62*($A149/1000)^2+Data!$V$63*($A149/1000)^3+Data!$V$64*($A149/1000)^4+Data!$V$65*($A149/1000)^5+Data!$V$66*($A149/1000)^6+Data!$V$67*($A149/1000)^7))))</f>
        <v>0.72682393786328425</v>
      </c>
    </row>
    <row r="150" spans="1:3" x14ac:dyDescent="0.3">
      <c r="A150">
        <f>9.425371*(29979200000/1000000000)</f>
        <v>282.56508228320001</v>
      </c>
      <c r="B150">
        <v>0</v>
      </c>
      <c r="C150">
        <f>MAX(0,(-B150+1/EXP((Data!$M$58*2.54)*(Data!$V$60+Data!$V$61*($A150/1000)+Data!$V$62*($A150/1000)^2+Data!$V$63*($A150/1000)^3+Data!$V$64*($A150/1000)^4+Data!$V$65*($A150/1000)^5+Data!$V$66*($A150/1000)^6+Data!$V$67*($A150/1000)^7))))</f>
        <v>0.72547051130126761</v>
      </c>
    </row>
    <row r="151" spans="1:3" x14ac:dyDescent="0.3">
      <c r="A151">
        <f>9.475774*(29979200000/1000000000)</f>
        <v>284.07612390080004</v>
      </c>
      <c r="B151">
        <v>0</v>
      </c>
      <c r="C151">
        <f>MAX(0,(-B151+1/EXP((Data!$M$58*2.54)*(Data!$V$60+Data!$V$61*($A151/1000)+Data!$V$62*($A151/1000)^2+Data!$V$63*($A151/1000)^3+Data!$V$64*($A151/1000)^4+Data!$V$65*($A151/1000)^5+Data!$V$66*($A151/1000)^6+Data!$V$67*($A151/1000)^7))))</f>
        <v>0.72412330140376246</v>
      </c>
    </row>
    <row r="152" spans="1:3" x14ac:dyDescent="0.3">
      <c r="A152">
        <f>9.526177*(29979200000/1000000000)</f>
        <v>285.58716551840001</v>
      </c>
      <c r="B152">
        <v>5.6999999999999998E-4</v>
      </c>
      <c r="C152">
        <f>MAX(0,(-B152+1/EXP((Data!$M$58*2.54)*(Data!$V$60+Data!$V$61*($A152/1000)+Data!$V$62*($A152/1000)^2+Data!$V$63*($A152/1000)^3+Data!$V$64*($A152/1000)^4+Data!$V$65*($A152/1000)^5+Data!$V$66*($A152/1000)^6+Data!$V$67*($A152/1000)^7))))</f>
        <v>0.7222122805136858</v>
      </c>
    </row>
    <row r="153" spans="1:3" x14ac:dyDescent="0.3">
      <c r="A153">
        <f>9.57658*(29979200000/1000000000)</f>
        <v>287.09820713599998</v>
      </c>
      <c r="B153">
        <v>6.8000000000000005E-4</v>
      </c>
      <c r="C153">
        <f>MAX(0,(-B153+1/EXP((Data!$M$58*2.54)*(Data!$V$60+Data!$V$61*($A153/1000)+Data!$V$62*($A153/1000)^2+Data!$V$63*($A153/1000)^3+Data!$V$64*($A153/1000)^4+Data!$V$65*($A153/1000)^5+Data!$V$66*($A153/1000)^6+Data!$V$67*($A153/1000)^7))))</f>
        <v>0.72076742110935554</v>
      </c>
    </row>
    <row r="154" spans="1:3" x14ac:dyDescent="0.3">
      <c r="A154">
        <f>9.626983*(29979200000/1000000000)</f>
        <v>288.60924875360001</v>
      </c>
      <c r="B154">
        <v>2.9999999999999997E-4</v>
      </c>
      <c r="C154">
        <f>MAX(0,(-B154+1/EXP((Data!$M$58*2.54)*(Data!$V$60+Data!$V$61*($A154/1000)+Data!$V$62*($A154/1000)^2+Data!$V$63*($A154/1000)^3+Data!$V$64*($A154/1000)^4+Data!$V$65*($A154/1000)^5+Data!$V$66*($A154/1000)^6+Data!$V$67*($A154/1000)^7))))</f>
        <v>0.7198186958036964</v>
      </c>
    </row>
    <row r="155" spans="1:3" x14ac:dyDescent="0.3">
      <c r="A155">
        <f>9.677386*(29979200000/1000000000)</f>
        <v>290.12029037119999</v>
      </c>
      <c r="B155">
        <v>3.5E-4</v>
      </c>
      <c r="C155">
        <f>MAX(0,(-B155+1/EXP((Data!$M$58*2.54)*(Data!$V$60+Data!$V$61*($A155/1000)+Data!$V$62*($A155/1000)^2+Data!$V$63*($A155/1000)^3+Data!$V$64*($A155/1000)^4+Data!$V$65*($A155/1000)^5+Data!$V$66*($A155/1000)^6+Data!$V$67*($A155/1000)^7))))</f>
        <v>0.71844607734345323</v>
      </c>
    </row>
    <row r="156" spans="1:3" x14ac:dyDescent="0.3">
      <c r="A156">
        <f>9.727789*(29979200000/1000000000)</f>
        <v>291.63133198880001</v>
      </c>
      <c r="B156">
        <v>8.0000000000000004E-4</v>
      </c>
      <c r="C156">
        <f>MAX(0,(-B156+1/EXP((Data!$M$58*2.54)*(Data!$V$60+Data!$V$61*($A156/1000)+Data!$V$62*($A156/1000)^2+Data!$V$63*($A156/1000)^3+Data!$V$64*($A156/1000)^4+Data!$V$65*($A156/1000)^5+Data!$V$66*($A156/1000)^6+Data!$V$67*($A156/1000)^7))))</f>
        <v>0.71667953860840594</v>
      </c>
    </row>
    <row r="157" spans="1:3" x14ac:dyDescent="0.3">
      <c r="A157">
        <f>9.778192*(29979200000/1000000000)</f>
        <v>293.14237360639999</v>
      </c>
      <c r="B157">
        <v>5.5000000000000003E-4</v>
      </c>
      <c r="C157">
        <f>MAX(0,(-B157+1/EXP((Data!$M$58*2.54)*(Data!$V$60+Data!$V$61*($A157/1000)+Data!$V$62*($A157/1000)^2+Data!$V$63*($A157/1000)^3+Data!$V$64*($A157/1000)^4+Data!$V$65*($A157/1000)^5+Data!$V$66*($A157/1000)^6+Data!$V$67*($A157/1000)^7))))</f>
        <v>0.715619052610593</v>
      </c>
    </row>
    <row r="158" spans="1:3" x14ac:dyDescent="0.3">
      <c r="A158">
        <f>9.828595*(29979200000/1000000000)</f>
        <v>294.65341522400001</v>
      </c>
      <c r="B158">
        <v>1.2E-4</v>
      </c>
      <c r="C158">
        <f>MAX(0,(-B158+1/EXP((Data!$M$58*2.54)*(Data!$V$60+Data!$V$61*($A158/1000)+Data!$V$62*($A158/1000)^2+Data!$V$63*($A158/1000)^3+Data!$V$64*($A158/1000)^4+Data!$V$65*($A158/1000)^5+Data!$V$66*($A158/1000)^6+Data!$V$67*($A158/1000)^7))))</f>
        <v>0.71474459249353561</v>
      </c>
    </row>
    <row r="159" spans="1:3" x14ac:dyDescent="0.3">
      <c r="A159">
        <f>9.878998*(29979200000/1000000000)</f>
        <v>296.16445684160004</v>
      </c>
      <c r="B159">
        <v>0</v>
      </c>
      <c r="C159">
        <f>MAX(0,(-B159+1/EXP((Data!$M$58*2.54)*(Data!$V$60+Data!$V$61*($A159/1000)+Data!$V$62*($A159/1000)^2+Data!$V$63*($A159/1000)^3+Data!$V$64*($A159/1000)^4+Data!$V$65*($A159/1000)^5+Data!$V$66*($A159/1000)^6+Data!$V$67*($A159/1000)^7))))</f>
        <v>0.71356613153147008</v>
      </c>
    </row>
    <row r="160" spans="1:3" x14ac:dyDescent="0.3">
      <c r="A160">
        <f>9.929401*(29979200000/1000000000)</f>
        <v>297.67549845920001</v>
      </c>
      <c r="B160">
        <v>1.6000000000000001E-4</v>
      </c>
      <c r="C160">
        <f>MAX(0,(-B160+1/EXP((Data!$M$58*2.54)*(Data!$V$60+Data!$V$61*($A160/1000)+Data!$V$62*($A160/1000)^2+Data!$V$63*($A160/1000)^3+Data!$V$64*($A160/1000)^4+Data!$V$65*($A160/1000)^5+Data!$V$66*($A160/1000)^6+Data!$V$67*($A160/1000)^7))))</f>
        <v>0.71211364312858327</v>
      </c>
    </row>
    <row r="161" spans="1:3" x14ac:dyDescent="0.3">
      <c r="A161">
        <f>9.979804*(29979200000/1000000000)</f>
        <v>299.18654007679999</v>
      </c>
      <c r="B161">
        <v>7.2000000000000005E-4</v>
      </c>
      <c r="C161">
        <f>MAX(0,(-B161+1/EXP((Data!$M$58*2.54)*(Data!$V$60+Data!$V$61*($A161/1000)+Data!$V$62*($A161/1000)^2+Data!$V$63*($A161/1000)^3+Data!$V$64*($A161/1000)^4+Data!$V$65*($A161/1000)^5+Data!$V$66*($A161/1000)^6+Data!$V$67*($A161/1000)^7))))</f>
        <v>0.71026710081825239</v>
      </c>
    </row>
    <row r="162" spans="1:3" x14ac:dyDescent="0.3">
      <c r="A162">
        <f>10.030207*(29979200000/1000000000)</f>
        <v>300.69758169440001</v>
      </c>
      <c r="B162">
        <v>5.5999999999999995E-4</v>
      </c>
      <c r="C162">
        <f>MAX(0,(-B162+1/EXP((Data!$M$58*2.54)*(Data!$V$60+Data!$V$61*($A162/1000)+Data!$V$62*($A162/1000)^2+Data!$V$63*($A162/1000)^3+Data!$V$64*($A162/1000)^4+Data!$V$65*($A162/1000)^5+Data!$V$66*($A162/1000)^6+Data!$V$67*($A162/1000)^7))))</f>
        <v>0.70914647826229127</v>
      </c>
    </row>
    <row r="163" spans="1:3" x14ac:dyDescent="0.3">
      <c r="A163">
        <f>10.08061*(29979200000/1000000000)</f>
        <v>302.20862331199999</v>
      </c>
      <c r="B163">
        <v>4.6999999999999999E-4</v>
      </c>
      <c r="C163">
        <f>MAX(0,(-B163+1/EXP((Data!$M$58*2.54)*(Data!$V$60+Data!$V$61*($A163/1000)+Data!$V$62*($A163/1000)^2+Data!$V$63*($A163/1000)^3+Data!$V$64*($A163/1000)^4+Data!$V$65*($A163/1000)^5+Data!$V$66*($A163/1000)^6+Data!$V$67*($A163/1000)^7))))</f>
        <v>0.70796174925019828</v>
      </c>
    </row>
    <row r="164" spans="1:3" x14ac:dyDescent="0.3">
      <c r="A164">
        <f>10.131013*(29979200000/1000000000)</f>
        <v>303.71966492960001</v>
      </c>
      <c r="B164">
        <v>3.3E-4</v>
      </c>
      <c r="C164">
        <f>MAX(0,(-B164+1/EXP((Data!$M$58*2.54)*(Data!$V$60+Data!$V$61*($A164/1000)+Data!$V$62*($A164/1000)^2+Data!$V$63*($A164/1000)^3+Data!$V$64*($A164/1000)^4+Data!$V$65*($A164/1000)^5+Data!$V$66*($A164/1000)^6+Data!$V$67*($A164/1000)^7))))</f>
        <v>0.70683288769841202</v>
      </c>
    </row>
    <row r="165" spans="1:3" x14ac:dyDescent="0.3">
      <c r="A165">
        <f>10.181416*(29979200000/1000000000)</f>
        <v>305.23070654719999</v>
      </c>
      <c r="B165">
        <v>2.3000000000000001E-4</v>
      </c>
      <c r="C165">
        <f>MAX(0,(-B165+1/EXP((Data!$M$58*2.54)*(Data!$V$60+Data!$V$61*($A165/1000)+Data!$V$62*($A165/1000)^2+Data!$V$63*($A165/1000)^3+Data!$V$64*($A165/1000)^4+Data!$V$65*($A165/1000)^5+Data!$V$66*($A165/1000)^6+Data!$V$67*($A165/1000)^7))))</f>
        <v>0.70566986764956952</v>
      </c>
    </row>
    <row r="166" spans="1:3" x14ac:dyDescent="0.3">
      <c r="A166">
        <f>10.231819*(29979200000/1000000000)</f>
        <v>306.74174816480001</v>
      </c>
      <c r="B166">
        <v>6.8999999999999997E-4</v>
      </c>
      <c r="C166">
        <f>MAX(0,(-B166+1/EXP((Data!$M$58*2.54)*(Data!$V$60+Data!$V$61*($A166/1000)+Data!$V$62*($A166/1000)^2+Data!$V$63*($A166/1000)^3+Data!$V$64*($A166/1000)^4+Data!$V$65*($A166/1000)^5+Data!$V$66*($A166/1000)^6+Data!$V$67*($A166/1000)^7))))</f>
        <v>0.70395266327176897</v>
      </c>
    </row>
    <row r="167" spans="1:3" x14ac:dyDescent="0.3">
      <c r="A167">
        <f>10.282222*(29979200000/1000000000)</f>
        <v>308.25278978239999</v>
      </c>
      <c r="B167">
        <v>9.7000000000000005E-4</v>
      </c>
      <c r="C167">
        <f>MAX(0,(-B167+1/EXP((Data!$M$58*2.54)*(Data!$V$60+Data!$V$61*($A167/1000)+Data!$V$62*($A167/1000)^2+Data!$V$63*($A167/1000)^3+Data!$V$64*($A167/1000)^4+Data!$V$65*($A167/1000)^5+Data!$V$66*($A167/1000)^6+Data!$V$67*($A167/1000)^7))))</f>
        <v>0.70242124885783797</v>
      </c>
    </row>
    <row r="168" spans="1:3" x14ac:dyDescent="0.3">
      <c r="A168">
        <f>10.332625*(29979200000/1000000000)</f>
        <v>309.76383140000002</v>
      </c>
      <c r="B168">
        <v>8.1999999999999998E-4</v>
      </c>
      <c r="C168">
        <f>MAX(0,(-B168+1/EXP((Data!$M$58*2.54)*(Data!$V$60+Data!$V$61*($A168/1000)+Data!$V$62*($A168/1000)^2+Data!$V$63*($A168/1000)^3+Data!$V$64*($A168/1000)^4+Data!$V$65*($A168/1000)^5+Data!$V$66*($A168/1000)^6+Data!$V$67*($A168/1000)^7))))</f>
        <v>0.7013255988246061</v>
      </c>
    </row>
    <row r="169" spans="1:3" x14ac:dyDescent="0.3">
      <c r="A169">
        <f>10.383028*(29979200000/1000000000)</f>
        <v>311.27487301760004</v>
      </c>
      <c r="B169">
        <v>1E-3</v>
      </c>
      <c r="C169">
        <f>MAX(0,(-B169+1/EXP((Data!$M$58*2.54)*(Data!$V$60+Data!$V$61*($A169/1000)+Data!$V$62*($A169/1000)^2+Data!$V$63*($A169/1000)^3+Data!$V$64*($A169/1000)^4+Data!$V$65*($A169/1000)^5+Data!$V$66*($A169/1000)^6+Data!$V$67*($A169/1000)^7))))</f>
        <v>0.69990568771218054</v>
      </c>
    </row>
    <row r="170" spans="1:3" x14ac:dyDescent="0.3">
      <c r="A170">
        <f>10.433431*(29979200000/1000000000)</f>
        <v>312.78591463520002</v>
      </c>
      <c r="B170">
        <v>1E-3</v>
      </c>
      <c r="C170">
        <f>MAX(0,(-B170+1/EXP((Data!$M$58*2.54)*(Data!$V$60+Data!$V$61*($A170/1000)+Data!$V$62*($A170/1000)^2+Data!$V$63*($A170/1000)^3+Data!$V$64*($A170/1000)^4+Data!$V$65*($A170/1000)^5+Data!$V$66*($A170/1000)^6+Data!$V$67*($A170/1000)^7))))</f>
        <v>0.69867149018322727</v>
      </c>
    </row>
    <row r="171" spans="1:3" x14ac:dyDescent="0.3">
      <c r="A171">
        <f>10.483834*(29979200000/1000000000)</f>
        <v>314.29695625280004</v>
      </c>
      <c r="B171">
        <v>7.6000000000000004E-4</v>
      </c>
      <c r="C171">
        <f>MAX(0,(-B171+1/EXP((Data!$M$58*2.54)*(Data!$V$60+Data!$V$61*($A171/1000)+Data!$V$62*($A171/1000)^2+Data!$V$63*($A171/1000)^3+Data!$V$64*($A171/1000)^4+Data!$V$65*($A171/1000)^5+Data!$V$66*($A171/1000)^6+Data!$V$67*($A171/1000)^7))))</f>
        <v>0.69768298102225668</v>
      </c>
    </row>
    <row r="172" spans="1:3" x14ac:dyDescent="0.3">
      <c r="A172">
        <f>10.534237*(29979200000/1000000000)</f>
        <v>315.80799787040002</v>
      </c>
      <c r="B172">
        <v>8.4999999999999995E-4</v>
      </c>
      <c r="C172">
        <f>MAX(0,(-B172+1/EXP((Data!$M$58*2.54)*(Data!$V$60+Data!$V$61*($A172/1000)+Data!$V$62*($A172/1000)^2+Data!$V$63*($A172/1000)^3+Data!$V$64*($A172/1000)^4+Data!$V$65*($A172/1000)^5+Data!$V$66*($A172/1000)^6+Data!$V$67*($A172/1000)^7))))</f>
        <v>0.69637013513491275</v>
      </c>
    </row>
    <row r="173" spans="1:3" x14ac:dyDescent="0.3">
      <c r="A173">
        <f>10.58464*(29979200000/1000000000)</f>
        <v>317.31903948799999</v>
      </c>
      <c r="B173">
        <v>1.0300000000000001E-3</v>
      </c>
      <c r="C173">
        <f>MAX(0,(-B173+1/EXP((Data!$M$58*2.54)*(Data!$V$60+Data!$V$61*($A173/1000)+Data!$V$62*($A173/1000)^2+Data!$V$63*($A173/1000)^3+Data!$V$64*($A173/1000)^4+Data!$V$65*($A173/1000)^5+Data!$V$66*($A173/1000)^6+Data!$V$67*($A173/1000)^7))))</f>
        <v>0.69497292754726692</v>
      </c>
    </row>
    <row r="174" spans="1:3" x14ac:dyDescent="0.3">
      <c r="A174">
        <f>10.635043*(29979200000/1000000000)</f>
        <v>318.83008110560002</v>
      </c>
      <c r="B174">
        <v>9.6000000000000002E-4</v>
      </c>
      <c r="C174">
        <f>MAX(0,(-B174+1/EXP((Data!$M$58*2.54)*(Data!$V$60+Data!$V$61*($A174/1000)+Data!$V$62*($A174/1000)^2+Data!$V$63*($A174/1000)^3+Data!$V$64*($A174/1000)^4+Data!$V$65*($A174/1000)^5+Data!$V$66*($A174/1000)^6+Data!$V$67*($A174/1000)^7))))</f>
        <v>0.69383133340511649</v>
      </c>
    </row>
    <row r="175" spans="1:3" x14ac:dyDescent="0.3">
      <c r="A175">
        <f>10.685446*(29979200000/1000000000)</f>
        <v>320.34112272319999</v>
      </c>
      <c r="B175">
        <v>7.2999999999999996E-4</v>
      </c>
      <c r="C175">
        <f>MAX(0,(-B175+1/EXP((Data!$M$58*2.54)*(Data!$V$60+Data!$V$61*($A175/1000)+Data!$V$62*($A175/1000)^2+Data!$V$63*($A175/1000)^3+Data!$V$64*($A175/1000)^4+Data!$V$65*($A175/1000)^5+Data!$V$66*($A175/1000)^6+Data!$V$67*($A175/1000)^7))))</f>
        <v>0.69285532797328653</v>
      </c>
    </row>
    <row r="176" spans="1:3" x14ac:dyDescent="0.3">
      <c r="A176">
        <f>10.735849*(29979200000/1000000000)</f>
        <v>321.85216434080002</v>
      </c>
      <c r="B176">
        <v>5.1999999999999995E-4</v>
      </c>
      <c r="C176">
        <f>MAX(0,(-B176+1/EXP((Data!$M$58*2.54)*(Data!$V$60+Data!$V$61*($A176/1000)+Data!$V$62*($A176/1000)^2+Data!$V$63*($A176/1000)^3+Data!$V$64*($A176/1000)^4+Data!$V$65*($A176/1000)^5+Data!$V$66*($A176/1000)^6+Data!$V$67*($A176/1000)^7))))</f>
        <v>0.69186488663493673</v>
      </c>
    </row>
    <row r="177" spans="1:3" x14ac:dyDescent="0.3">
      <c r="A177">
        <f>10.786252*(29979200000/1000000000)</f>
        <v>323.36320595840004</v>
      </c>
      <c r="B177">
        <v>5.0000000000000001E-4</v>
      </c>
      <c r="C177">
        <f>MAX(0,(-B177+1/EXP((Data!$M$58*2.54)*(Data!$V$60+Data!$V$61*($A177/1000)+Data!$V$62*($A177/1000)^2+Data!$V$63*($A177/1000)^3+Data!$V$64*($A177/1000)^4+Data!$V$65*($A177/1000)^5+Data!$V$66*($A177/1000)^6+Data!$V$67*($A177/1000)^7))))</f>
        <v>0.69068998489087141</v>
      </c>
    </row>
    <row r="178" spans="1:3" x14ac:dyDescent="0.3">
      <c r="A178">
        <f>10.836655*(29979200000/1000000000)</f>
        <v>324.87424757600002</v>
      </c>
      <c r="B178">
        <v>6.8000000000000005E-4</v>
      </c>
      <c r="C178">
        <f>MAX(0,(-B178+1/EXP((Data!$M$58*2.54)*(Data!$V$60+Data!$V$61*($A178/1000)+Data!$V$62*($A178/1000)^2+Data!$V$63*($A178/1000)^3+Data!$V$64*($A178/1000)^4+Data!$V$65*($A178/1000)^5+Data!$V$66*($A178/1000)^6+Data!$V$67*($A178/1000)^7))))</f>
        <v>0.68932059835885506</v>
      </c>
    </row>
    <row r="179" spans="1:3" x14ac:dyDescent="0.3">
      <c r="A179">
        <f>10.887058*(29979200000/1000000000)</f>
        <v>326.38528919360004</v>
      </c>
      <c r="B179">
        <v>1.7000000000000001E-4</v>
      </c>
      <c r="C179">
        <f>MAX(0,(-B179+1/EXP((Data!$M$58*2.54)*(Data!$V$60+Data!$V$61*($A179/1000)+Data!$V$62*($A179/1000)^2+Data!$V$63*($A179/1000)^3+Data!$V$64*($A179/1000)^4+Data!$V$65*($A179/1000)^5+Data!$V$66*($A179/1000)^6+Data!$V$67*($A179/1000)^7))))</f>
        <v>0.68864670277293083</v>
      </c>
    </row>
    <row r="180" spans="1:3" x14ac:dyDescent="0.3">
      <c r="A180">
        <f>10.937461*(29979200000/1000000000)</f>
        <v>327.89633081120002</v>
      </c>
      <c r="B180">
        <v>0</v>
      </c>
      <c r="C180">
        <f>MAX(0,(-B180+1/EXP((Data!$M$58*2.54)*(Data!$V$60+Data!$V$61*($A180/1000)+Data!$V$62*($A180/1000)^2+Data!$V$63*($A180/1000)^3+Data!$V$64*($A180/1000)^4+Data!$V$65*($A180/1000)^5+Data!$V$66*($A180/1000)^6+Data!$V$67*($A180/1000)^7))))</f>
        <v>0.68763827398274324</v>
      </c>
    </row>
    <row r="181" spans="1:3" x14ac:dyDescent="0.3">
      <c r="A181">
        <f>10.987864*(29979200000/1000000000)</f>
        <v>329.40737242880004</v>
      </c>
      <c r="B181">
        <v>3.1E-4</v>
      </c>
      <c r="C181">
        <f>MAX(0,(-B181+1/EXP((Data!$M$58*2.54)*(Data!$V$60+Data!$V$61*($A181/1000)+Data!$V$62*($A181/1000)^2+Data!$V$63*($A181/1000)^3+Data!$V$64*($A181/1000)^4+Data!$V$65*($A181/1000)^5+Data!$V$66*($A181/1000)^6+Data!$V$67*($A181/1000)^7))))</f>
        <v>0.68615528795286573</v>
      </c>
    </row>
    <row r="182" spans="1:3" x14ac:dyDescent="0.3">
      <c r="A182">
        <f>11.038267*(29979200000/1000000000)</f>
        <v>330.91841404640002</v>
      </c>
      <c r="B182">
        <v>4.0000000000000003E-5</v>
      </c>
      <c r="C182">
        <f>MAX(0,(-B182+1/EXP((Data!$M$58*2.54)*(Data!$V$60+Data!$V$61*($A182/1000)+Data!$V$62*($A182/1000)^2+Data!$V$63*($A182/1000)^3+Data!$V$64*($A182/1000)^4+Data!$V$65*($A182/1000)^5+Data!$V$66*($A182/1000)^6+Data!$V$67*($A182/1000)^7))))</f>
        <v>0.68525772076213043</v>
      </c>
    </row>
    <row r="183" spans="1:3" x14ac:dyDescent="0.3">
      <c r="A183">
        <v>400</v>
      </c>
      <c r="B183">
        <v>0</v>
      </c>
      <c r="C183">
        <f>MAX(0,(-B183+1/EXP((Data!$M$58*2.54)*(Data!$V$60+Data!$V$61*($A183/1000)+Data!$V$62*($A183/1000)^2+Data!$V$63*($A183/1000)^3+Data!$V$64*($A183/1000)^4+Data!$V$65*($A183/1000)^5+Data!$V$66*($A183/1000)^6+Data!$V$67*($A183/1000)^7))))</f>
        <v>0.63732193410717364</v>
      </c>
    </row>
    <row r="184" spans="1:3" x14ac:dyDescent="0.3">
      <c r="A184">
        <v>450</v>
      </c>
      <c r="B184">
        <v>0</v>
      </c>
      <c r="C184">
        <f>MAX(0,(-B184+1/EXP((Data!$M$58*2.54)*(Data!$V$60+Data!$V$61*($A184/1000)+Data!$V$62*($A184/1000)^2+Data!$V$63*($A184/1000)^3+Data!$V$64*($A184/1000)^4+Data!$V$65*($A184/1000)^5+Data!$V$66*($A184/1000)^6+Data!$V$67*($A184/1000)^7))))</f>
        <v>0.60847925129992042</v>
      </c>
    </row>
    <row r="185" spans="1:3" x14ac:dyDescent="0.3">
      <c r="A185">
        <v>500</v>
      </c>
      <c r="B185">
        <v>0</v>
      </c>
      <c r="C185">
        <f>MAX(0,(-B185+1/EXP((Data!$M$58*2.54)*(Data!$V$60+Data!$V$61*($A185/1000)+Data!$V$62*($A185/1000)^2+Data!$V$63*($A185/1000)^3+Data!$V$64*($A185/1000)^4+Data!$V$65*($A185/1000)^5+Data!$V$66*($A185/1000)^6+Data!$V$67*($A185/1000)^7))))</f>
        <v>0.58383276205042411</v>
      </c>
    </row>
    <row r="186" spans="1:3" x14ac:dyDescent="0.3">
      <c r="A186">
        <v>550</v>
      </c>
      <c r="B186">
        <v>0</v>
      </c>
      <c r="C186">
        <f>MAX(0,(-B186+1/EXP((Data!$M$58*2.54)*(Data!$V$60+Data!$V$61*($A186/1000)+Data!$V$62*($A186/1000)^2+Data!$V$63*($A186/1000)^3+Data!$V$64*($A186/1000)^4+Data!$V$65*($A186/1000)^5+Data!$V$66*($A186/1000)^6+Data!$V$67*($A186/1000)^7))))</f>
        <v>0.56281923197867922</v>
      </c>
    </row>
    <row r="187" spans="1:3" x14ac:dyDescent="0.3">
      <c r="A187">
        <v>600</v>
      </c>
      <c r="B187">
        <v>0</v>
      </c>
      <c r="C187">
        <f>MAX(0,(-B187+1/EXP((Data!$M$58*2.54)*(Data!$V$60+Data!$V$61*($A187/1000)+Data!$V$62*($A187/1000)^2+Data!$V$63*($A187/1000)^3+Data!$V$64*($A187/1000)^4+Data!$V$65*($A187/1000)^5+Data!$V$66*($A187/1000)^6+Data!$V$67*($A187/1000)^7))))</f>
        <v>0.54494613517430712</v>
      </c>
    </row>
    <row r="188" spans="1:3" x14ac:dyDescent="0.3">
      <c r="A188">
        <v>650</v>
      </c>
      <c r="B188">
        <v>0</v>
      </c>
      <c r="C188">
        <f>MAX(0,(-B188+1/EXP((Data!$M$58*2.54)*(Data!$V$60+Data!$V$61*($A188/1000)+Data!$V$62*($A188/1000)^2+Data!$V$63*($A188/1000)^3+Data!$V$64*($A188/1000)^4+Data!$V$65*($A188/1000)^5+Data!$V$66*($A188/1000)^6+Data!$V$67*($A188/1000)^7))))</f>
        <v>0.52977903388123671</v>
      </c>
    </row>
    <row r="189" spans="1:3" x14ac:dyDescent="0.3">
      <c r="A189">
        <v>700</v>
      </c>
      <c r="B189">
        <v>0</v>
      </c>
      <c r="C189">
        <f>MAX(0,(-B189+1/EXP((Data!$M$58*2.54)*(Data!$V$60+Data!$V$61*($A189/1000)+Data!$V$62*($A189/1000)^2+Data!$V$63*($A189/1000)^3+Data!$V$64*($A189/1000)^4+Data!$V$65*($A189/1000)^5+Data!$V$66*($A189/1000)^6+Data!$V$67*($A189/1000)^7))))</f>
        <v>0.51693118926954373</v>
      </c>
    </row>
    <row r="190" spans="1:3" x14ac:dyDescent="0.3">
      <c r="A190">
        <v>750</v>
      </c>
      <c r="B190">
        <v>0</v>
      </c>
      <c r="C190">
        <f>MAX(0,(-B190+1/EXP((Data!$M$58*2.54)*(Data!$V$60+Data!$V$61*($A190/1000)+Data!$V$62*($A190/1000)^2+Data!$V$63*($A190/1000)^3+Data!$V$64*($A190/1000)^4+Data!$V$65*($A190/1000)^5+Data!$V$66*($A190/1000)^6+Data!$V$67*($A190/1000)^7))))</f>
        <v>0.50605511168764772</v>
      </c>
    </row>
    <row r="191" spans="1:3" x14ac:dyDescent="0.3">
      <c r="A191">
        <v>800</v>
      </c>
      <c r="B191">
        <v>0</v>
      </c>
      <c r="C191">
        <f>MAX(0,(-B191+1/EXP((Data!$M$58*2.54)*(Data!$V$60+Data!$V$61*($A191/1000)+Data!$V$62*($A191/1000)^2+Data!$V$63*($A191/1000)^3+Data!$V$64*($A191/1000)^4+Data!$V$65*($A191/1000)^5+Data!$V$66*($A191/1000)^6+Data!$V$67*($A191/1000)^7))))</f>
        <v>0.49683583000727644</v>
      </c>
    </row>
    <row r="192" spans="1:3" x14ac:dyDescent="0.3">
      <c r="A192">
        <v>850</v>
      </c>
      <c r="B192">
        <v>0</v>
      </c>
      <c r="C192">
        <f>MAX(0,(-B192+1/EXP((Data!$M$58*2.54)*(Data!$V$60+Data!$V$61*($A192/1000)+Data!$V$62*($A192/1000)^2+Data!$V$63*($A192/1000)^3+Data!$V$64*($A192/1000)^4+Data!$V$65*($A192/1000)^5+Data!$V$66*($A192/1000)^6+Data!$V$67*($A192/1000)^7))))</f>
        <v>0.48898570873680391</v>
      </c>
    </row>
    <row r="193" spans="1:3" x14ac:dyDescent="0.3">
      <c r="A193">
        <v>900</v>
      </c>
      <c r="B193">
        <v>0</v>
      </c>
      <c r="C193">
        <f>MAX(0,(-B193+1/EXP((Data!$M$58*2.54)*(Data!$V$60+Data!$V$61*($A193/1000)+Data!$V$62*($A193/1000)^2+Data!$V$63*($A193/1000)^3+Data!$V$64*($A193/1000)^4+Data!$V$65*($A193/1000)^5+Data!$V$66*($A193/1000)^6+Data!$V$67*($A193/1000)^7))))</f>
        <v>0.4822406715372255</v>
      </c>
    </row>
    <row r="194" spans="1:3" x14ac:dyDescent="0.3">
      <c r="A194">
        <v>950</v>
      </c>
      <c r="B194">
        <v>0</v>
      </c>
      <c r="C194">
        <f>MAX(0,(-B194+1/EXP((Data!$M$58*2.54)*(Data!$V$60+Data!$V$61*($A194/1000)+Data!$V$62*($A194/1000)^2+Data!$V$63*($A194/1000)^3+Data!$V$64*($A194/1000)^4+Data!$V$65*($A194/1000)^5+Data!$V$66*($A194/1000)^6+Data!$V$67*($A194/1000)^7))))</f>
        <v>0.47635770280926515</v>
      </c>
    </row>
    <row r="195" spans="1:3" x14ac:dyDescent="0.3">
      <c r="A195">
        <v>1000</v>
      </c>
      <c r="B195">
        <v>0</v>
      </c>
      <c r="C195">
        <f>MAX(0,(-B195+1/EXP((Data!$M$58*2.54)*(Data!$V$60+Data!$V$61*($A195/1000)+Data!$V$62*($A195/1000)^2+Data!$V$63*($A195/1000)^3+Data!$V$64*($A195/1000)^4+Data!$V$65*($A195/1000)^5+Data!$V$66*($A195/1000)^6+Data!$V$67*($A195/1000)^7))))</f>
        <v>0.47111349718928425</v>
      </c>
    </row>
    <row r="196" spans="1:3" x14ac:dyDescent="0.3">
      <c r="A196">
        <v>1100</v>
      </c>
      <c r="B196">
        <v>0</v>
      </c>
      <c r="C196">
        <f>MAX(0,(-B196+1/EXP((Data!$M$58*2.54)*(Data!$V$60+Data!$V$61*($A196/1000)+Data!$V$62*($A196/1000)^2+Data!$V$63*($A196/1000)^3+Data!$V$64*($A196/1000)^4+Data!$V$65*($A196/1000)^5+Data!$V$66*($A196/1000)^6+Data!$V$67*($A196/1000)^7))))</f>
        <v>0.46174545945565248</v>
      </c>
    </row>
    <row r="197" spans="1:3" x14ac:dyDescent="0.3">
      <c r="A197">
        <v>1200</v>
      </c>
      <c r="B197">
        <v>0</v>
      </c>
      <c r="C197">
        <f>MAX(0,(-B197+1/EXP((Data!$M$58*2.54)*(Data!$V$60+Data!$V$61*($A197/1000)+Data!$V$62*($A197/1000)^2+Data!$V$63*($A197/1000)^3+Data!$V$64*($A197/1000)^4+Data!$V$65*($A197/1000)^5+Data!$V$66*($A197/1000)^6+Data!$V$67*($A197/1000)^7))))</f>
        <v>0.45275044904248052</v>
      </c>
    </row>
    <row r="198" spans="1:3" x14ac:dyDescent="0.3">
      <c r="A198">
        <v>1300</v>
      </c>
      <c r="B198">
        <v>0</v>
      </c>
      <c r="C198">
        <f>MAX(0,(-B198+1/EXP((Data!$M$58*2.54)*(Data!$V$60+Data!$V$61*($A198/1000)+Data!$V$62*($A198/1000)^2+Data!$V$63*($A198/1000)^3+Data!$V$64*($A198/1000)^4+Data!$V$65*($A198/1000)^5+Data!$V$66*($A198/1000)^6+Data!$V$67*($A198/1000)^7))))</f>
        <v>0.44310424042158392</v>
      </c>
    </row>
    <row r="199" spans="1:3" x14ac:dyDescent="0.3">
      <c r="A199">
        <v>1400</v>
      </c>
      <c r="B199">
        <v>0</v>
      </c>
      <c r="C199">
        <f>MAX(0,(-B199+1/EXP((Data!$M$58*2.54)*(Data!$V$60+Data!$V$61*($A199/1000)+Data!$V$62*($A199/1000)^2+Data!$V$63*($A199/1000)^3+Data!$V$64*($A199/1000)^4+Data!$V$65*($A199/1000)^5+Data!$V$66*($A199/1000)^6+Data!$V$67*($A199/1000)^7))))</f>
        <v>0.43219447667667904</v>
      </c>
    </row>
    <row r="200" spans="1:3" x14ac:dyDescent="0.3">
      <c r="A200">
        <v>1500</v>
      </c>
      <c r="B200">
        <v>0</v>
      </c>
      <c r="C200">
        <f>MAX(0,(-B200+1/EXP((Data!$M$58*2.54)*(Data!$V$60+Data!$V$61*($A200/1000)+Data!$V$62*($A200/1000)^2+Data!$V$63*($A200/1000)^3+Data!$V$64*($A200/1000)^4+Data!$V$65*($A200/1000)^5+Data!$V$66*($A200/1000)^6+Data!$V$67*($A200/1000)^7))))</f>
        <v>0.41985135544632379</v>
      </c>
    </row>
    <row r="201" spans="1:3" x14ac:dyDescent="0.3">
      <c r="A201">
        <v>1600</v>
      </c>
      <c r="B201">
        <v>0</v>
      </c>
      <c r="C201">
        <f>MAX(0,(-B201+1/EXP((Data!$M$58*2.54)*(Data!$V$60+Data!$V$61*($A201/1000)+Data!$V$62*($A201/1000)^2+Data!$V$63*($A201/1000)^3+Data!$V$64*($A201/1000)^4+Data!$V$65*($A201/1000)^5+Data!$V$66*($A201/1000)^6+Data!$V$67*($A201/1000)^7))))</f>
        <v>0.40633565939593441</v>
      </c>
    </row>
    <row r="202" spans="1:3" x14ac:dyDescent="0.3">
      <c r="A202">
        <v>1700</v>
      </c>
      <c r="B202">
        <v>0</v>
      </c>
      <c r="C202">
        <f>MAX(0,(-B202+1/EXP((Data!$M$58*2.54)*(Data!$V$60+Data!$V$61*($A202/1000)+Data!$V$62*($A202/1000)^2+Data!$V$63*($A202/1000)^3+Data!$V$64*($A202/1000)^4+Data!$V$65*($A202/1000)^5+Data!$V$66*($A202/1000)^6+Data!$V$67*($A202/1000)^7))))</f>
        <v>0.39227525726109691</v>
      </c>
    </row>
    <row r="203" spans="1:3" x14ac:dyDescent="0.3">
      <c r="A203">
        <v>1800</v>
      </c>
      <c r="B203">
        <v>0</v>
      </c>
      <c r="C203">
        <f>MAX(0,(-B203+1/EXP((Data!$M$58*2.54)*(Data!$V$60+Data!$V$61*($A203/1000)+Data!$V$62*($A203/1000)^2+Data!$V$63*($A203/1000)^3+Data!$V$64*($A203/1000)^4+Data!$V$65*($A203/1000)^5+Data!$V$66*($A203/1000)^6+Data!$V$67*($A203/1000)^7))))</f>
        <v>0.37855842239634474</v>
      </c>
    </row>
    <row r="204" spans="1:3" x14ac:dyDescent="0.3">
      <c r="A204">
        <v>1900</v>
      </c>
      <c r="B204">
        <v>0</v>
      </c>
      <c r="C204">
        <f>MAX(0,(-B204+1/EXP((Data!$M$58*2.54)*(Data!$V$60+Data!$V$61*($A204/1000)+Data!$V$62*($A204/1000)^2+Data!$V$63*($A204/1000)^3+Data!$V$64*($A204/1000)^4+Data!$V$65*($A204/1000)^5+Data!$V$66*($A204/1000)^6+Data!$V$67*($A204/1000)^7))))</f>
        <v>0.36620474557024579</v>
      </c>
    </row>
    <row r="205" spans="1:3" x14ac:dyDescent="0.3">
      <c r="A205">
        <v>2000</v>
      </c>
      <c r="B205">
        <v>0</v>
      </c>
      <c r="C205">
        <f>MAX(0,(-B205+1/EXP((Data!$M$58*2.54)*(Data!$V$60+Data!$V$61*($A205/1000)+Data!$V$62*($A205/1000)^2+Data!$V$63*($A205/1000)^3+Data!$V$64*($A205/1000)^4+Data!$V$65*($A205/1000)^5+Data!$V$66*($A205/1000)^6+Data!$V$67*($A205/1000)^7))))</f>
        <v>0.35623585222231097</v>
      </c>
    </row>
    <row r="206" spans="1:3" x14ac:dyDescent="0.3">
      <c r="A206">
        <v>2100</v>
      </c>
      <c r="B206">
        <v>0</v>
      </c>
      <c r="C206">
        <f>MAX(0,(-B206+1/EXP((Data!$M$58*2.54)*(Data!$V$60+Data!$V$61*($A206/1000)+Data!$V$62*($A206/1000)^2+Data!$V$63*($A206/1000)^3+Data!$V$64*($A206/1000)^4+Data!$V$65*($A206/1000)^5+Data!$V$66*($A206/1000)^6+Data!$V$67*($A206/1000)^7))))</f>
        <v>0.34955661004054323</v>
      </c>
    </row>
    <row r="207" spans="1:3" x14ac:dyDescent="0.3">
      <c r="A207">
        <v>2200</v>
      </c>
      <c r="B207">
        <v>0</v>
      </c>
      <c r="C207">
        <f>MAX(0,(-B207+1/EXP((Data!$M$58*2.54)*(Data!$V$60+Data!$V$61*($A207/1000)+Data!$V$62*($A207/1000)^2+Data!$V$63*($A207/1000)^3+Data!$V$64*($A207/1000)^4+Data!$V$65*($A207/1000)^5+Data!$V$66*($A207/1000)^6+Data!$V$67*($A207/1000)^7))))</f>
        <v>0.34683526163527284</v>
      </c>
    </row>
    <row r="208" spans="1:3" x14ac:dyDescent="0.3">
      <c r="A208">
        <v>2300</v>
      </c>
      <c r="B208">
        <v>0</v>
      </c>
      <c r="C208">
        <f>MAX(0,(-B208+1/EXP((Data!$M$58*2.54)*(Data!$V$60+Data!$V$61*($A208/1000)+Data!$V$62*($A208/1000)^2+Data!$V$63*($A208/1000)^3+Data!$V$64*($A208/1000)^4+Data!$V$65*($A208/1000)^5+Data!$V$66*($A208/1000)^6+Data!$V$67*($A208/1000)^7))))</f>
        <v>0.3483422247325908</v>
      </c>
    </row>
    <row r="209" spans="1:3" x14ac:dyDescent="0.3">
      <c r="A209">
        <v>2400</v>
      </c>
      <c r="B209">
        <v>0</v>
      </c>
      <c r="C209">
        <f>MAX(0,(-B209+1/EXP((Data!$M$58*2.54)*(Data!$V$60+Data!$V$61*($A209/1000)+Data!$V$62*($A209/1000)^2+Data!$V$63*($A209/1000)^3+Data!$V$64*($A209/1000)^4+Data!$V$65*($A209/1000)^5+Data!$V$66*($A209/1000)^6+Data!$V$67*($A209/1000)^7))))</f>
        <v>0.35367831348220918</v>
      </c>
    </row>
    <row r="210" spans="1:3" x14ac:dyDescent="0.3">
      <c r="A210">
        <v>2500</v>
      </c>
      <c r="B210">
        <v>0</v>
      </c>
      <c r="C210">
        <f>MAX(0,(-B210+1/EXP((Data!$M$58*2.54)*(Data!$V$60+Data!$V$61*($A210/1000)+Data!$V$62*($A210/1000)^2+Data!$V$63*($A210/1000)^3+Data!$V$64*($A210/1000)^4+Data!$V$65*($A210/1000)^5+Data!$V$66*($A210/1000)^6+Data!$V$67*($A210/1000)^7))))</f>
        <v>0.36130978893316235</v>
      </c>
    </row>
    <row r="211" spans="1:3" x14ac:dyDescent="0.3">
      <c r="A211">
        <v>2600</v>
      </c>
      <c r="B211">
        <v>0</v>
      </c>
      <c r="C211">
        <f>MAX(0,(-B211+1/EXP((Data!$M$58*2.54)*(Data!$V$60+Data!$V$61*($A211/1000)+Data!$V$62*($A211/1000)^2+Data!$V$63*($A211/1000)^3+Data!$V$64*($A211/1000)^4+Data!$V$65*($A211/1000)^5+Data!$V$66*($A211/1000)^6+Data!$V$67*($A211/1000)^7))))</f>
        <v>0.36787799826670342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3"/>
  <sheetViews>
    <sheetView workbookViewId="0">
      <selection activeCell="C4" sqref="C4"/>
    </sheetView>
  </sheetViews>
  <sheetFormatPr defaultRowHeight="14.4" x14ac:dyDescent="0.3"/>
  <sheetData>
    <row r="1" spans="1:3" x14ac:dyDescent="0.3">
      <c r="A1" t="s">
        <v>5</v>
      </c>
    </row>
    <row r="2" spans="1:3" x14ac:dyDescent="0.3">
      <c r="A2" t="s">
        <v>52</v>
      </c>
      <c r="B2" t="s">
        <v>59</v>
      </c>
      <c r="C2" t="s">
        <v>60</v>
      </c>
    </row>
    <row r="3" spans="1:3" x14ac:dyDescent="0.3">
      <c r="A3">
        <f>2.01613*(29979200000/1000000000)</f>
        <v>60.441964495999997</v>
      </c>
      <c r="B3">
        <v>0.96779000000000004</v>
      </c>
      <c r="C3">
        <f>1-B3-0.0001</f>
        <v>3.2109999999999958E-2</v>
      </c>
    </row>
    <row r="4" spans="1:3" x14ac:dyDescent="0.3">
      <c r="A4">
        <f>2.066533*(29979200000/1000000000)</f>
        <v>61.953006113600004</v>
      </c>
      <c r="B4">
        <v>0.92252999999999996</v>
      </c>
      <c r="C4">
        <f t="shared" ref="C4:C7" si="0">1-B4</f>
        <v>7.7470000000000039E-2</v>
      </c>
    </row>
    <row r="5" spans="1:3" x14ac:dyDescent="0.3">
      <c r="A5">
        <f>2.116936*(29979200000/1000000000)</f>
        <v>63.464047731199997</v>
      </c>
      <c r="B5">
        <v>0.87971999999999995</v>
      </c>
      <c r="C5">
        <f t="shared" si="0"/>
        <v>0.12028000000000005</v>
      </c>
    </row>
    <row r="6" spans="1:3" x14ac:dyDescent="0.3">
      <c r="A6">
        <f>2.167339*(29979200000/1000000000)</f>
        <v>64.975089348799997</v>
      </c>
      <c r="B6">
        <v>0.79096999999999995</v>
      </c>
      <c r="C6">
        <f t="shared" si="0"/>
        <v>0.20903000000000005</v>
      </c>
    </row>
    <row r="7" spans="1:3" x14ac:dyDescent="0.3">
      <c r="A7">
        <f>2.217742*(29979200000/1000000000)</f>
        <v>66.486130966399998</v>
      </c>
      <c r="B7">
        <v>0.79371000000000003</v>
      </c>
      <c r="C7">
        <f t="shared" si="0"/>
        <v>0.20628999999999997</v>
      </c>
    </row>
    <row r="8" spans="1:3" x14ac:dyDescent="0.3">
      <c r="A8">
        <f>2.268145*(29979200000/1000000000)</f>
        <v>67.997172583999998</v>
      </c>
      <c r="B8">
        <v>0.82669000000000004</v>
      </c>
      <c r="C8">
        <f>MAX(0,(-B8+1/EXP((Data!$L$58*2.54)*(Data!$V$60+Data!$V$61*($A8/1000)+Data!$V$62*($A8/1000)^2+Data!$V$63*($A8/1000)^3+Data!$V$64*($A8/1000)^4+Data!$V$65*($A8/1000)^5+Data!$V$66*($A8/1000)^6+Data!$V$67*($A8/1000)^7))))</f>
        <v>0.16967354552589986</v>
      </c>
    </row>
    <row r="9" spans="1:3" x14ac:dyDescent="0.3">
      <c r="A9">
        <f>2.318548*(29979200000/1000000000)</f>
        <v>69.508214201599998</v>
      </c>
      <c r="B9">
        <v>0.80242000000000002</v>
      </c>
      <c r="C9">
        <f>MAX(0,(-B9+1/EXP((Data!$L$58*2.54)*(Data!$V$60+Data!$V$61*($A9/1000)+Data!$V$62*($A9/1000)^2+Data!$V$63*($A9/1000)^3+Data!$V$64*($A9/1000)^4+Data!$V$65*($A9/1000)^5+Data!$V$66*($A9/1000)^6+Data!$V$67*($A9/1000)^7))))</f>
        <v>0.19165744190722422</v>
      </c>
    </row>
    <row r="10" spans="1:3" x14ac:dyDescent="0.3">
      <c r="A10">
        <f>2.368951*(29979200000/1000000000)</f>
        <v>71.019255819199998</v>
      </c>
      <c r="B10">
        <v>0.85440000000000005</v>
      </c>
      <c r="C10">
        <f>MAX(0,(-B10+1/EXP((Data!$L$58*2.54)*(Data!$V$60+Data!$V$61*($A10/1000)+Data!$V$62*($A10/1000)^2+Data!$V$63*($A10/1000)^3+Data!$V$64*($A10/1000)^4+Data!$V$65*($A10/1000)^5+Data!$V$66*($A10/1000)^6+Data!$V$67*($A10/1000)^7))))</f>
        <v>0.13740120741055983</v>
      </c>
    </row>
    <row r="11" spans="1:3" x14ac:dyDescent="0.3">
      <c r="A11">
        <f>2.419354*(29979200000/1000000000)</f>
        <v>72.530297436799998</v>
      </c>
      <c r="B11">
        <v>0.90676999999999996</v>
      </c>
      <c r="C11">
        <f>MAX(0,(-B11+1/EXP((Data!$L$58*2.54)*(Data!$V$60+Data!$V$61*($A11/1000)+Data!$V$62*($A11/1000)^2+Data!$V$63*($A11/1000)^3+Data!$V$64*($A11/1000)^4+Data!$V$65*($A11/1000)^5+Data!$V$66*($A11/1000)^6+Data!$V$67*($A11/1000)^7))))</f>
        <v>8.2764798505081782E-2</v>
      </c>
    </row>
    <row r="12" spans="1:3" x14ac:dyDescent="0.3">
      <c r="A12">
        <f>2.469757*(29979200000/1000000000)</f>
        <v>74.041339054399998</v>
      </c>
      <c r="B12">
        <v>0.94499</v>
      </c>
      <c r="C12">
        <f>MAX(0,(-B12+1/EXP((Data!$L$58*2.54)*(Data!$V$60+Data!$V$61*($A12/1000)+Data!$V$62*($A12/1000)^2+Data!$V$63*($A12/1000)^3+Data!$V$64*($A12/1000)^4+Data!$V$65*($A12/1000)^5+Data!$V$66*($A12/1000)^6+Data!$V$67*($A12/1000)^7))))</f>
        <v>4.2288171882893355E-2</v>
      </c>
    </row>
    <row r="13" spans="1:3" x14ac:dyDescent="0.3">
      <c r="A13">
        <f>2.52016*(29979200000/1000000000)</f>
        <v>75.552380671999984</v>
      </c>
      <c r="B13">
        <v>0.93662000000000001</v>
      </c>
      <c r="C13">
        <f>MAX(0,(-B13+1/EXP((Data!$L$58*2.54)*(Data!$V$60+Data!$V$61*($A13/1000)+Data!$V$62*($A13/1000)^2+Data!$V$63*($A13/1000)^3+Data!$V$64*($A13/1000)^4+Data!$V$65*($A13/1000)^5+Data!$V$66*($A13/1000)^6+Data!$V$67*($A13/1000)^7))))</f>
        <v>4.8411284457638426E-2</v>
      </c>
    </row>
    <row r="14" spans="1:3" x14ac:dyDescent="0.3">
      <c r="A14">
        <f>2.570563*(29979200000/1000000000)</f>
        <v>77.063422289599998</v>
      </c>
      <c r="B14">
        <v>0.92954000000000003</v>
      </c>
      <c r="C14">
        <f>MAX(0,(-B14+1/EXP((Data!$L$58*2.54)*(Data!$V$60+Data!$V$61*($A14/1000)+Data!$V$62*($A14/1000)^2+Data!$V$63*($A14/1000)^3+Data!$V$64*($A14/1000)^4+Data!$V$65*($A14/1000)^5+Data!$V$66*($A14/1000)^6+Data!$V$67*($A14/1000)^7))))</f>
        <v>5.3254093363120925E-2</v>
      </c>
    </row>
    <row r="15" spans="1:3" x14ac:dyDescent="0.3">
      <c r="A15">
        <f>2.620966*(29979200000/1000000000)</f>
        <v>78.574463907199998</v>
      </c>
      <c r="B15">
        <v>0.91005000000000003</v>
      </c>
      <c r="C15">
        <f>MAX(0,(-B15+1/EXP((Data!$L$58*2.54)*(Data!$V$60+Data!$V$61*($A15/1000)+Data!$V$62*($A15/1000)^2+Data!$V$63*($A15/1000)^3+Data!$V$64*($A15/1000)^4+Data!$V$65*($A15/1000)^5+Data!$V$66*($A15/1000)^6+Data!$V$67*($A15/1000)^7))))</f>
        <v>7.0516555951938287E-2</v>
      </c>
    </row>
    <row r="16" spans="1:3" x14ac:dyDescent="0.3">
      <c r="A16">
        <f>2.671369*(29979200000/1000000000)</f>
        <v>80.085505524799999</v>
      </c>
      <c r="B16">
        <v>0.94918000000000002</v>
      </c>
      <c r="C16">
        <f>MAX(0,(-B16+1/EXP((Data!$L$58*2.54)*(Data!$V$60+Data!$V$61*($A16/1000)+Data!$V$62*($A16/1000)^2+Data!$V$63*($A16/1000)^3+Data!$V$64*($A16/1000)^4+Data!$V$65*($A16/1000)^5+Data!$V$66*($A16/1000)^6+Data!$V$67*($A16/1000)^7))))</f>
        <v>2.9168629794122158E-2</v>
      </c>
    </row>
    <row r="17" spans="1:3" x14ac:dyDescent="0.3">
      <c r="A17">
        <f>2.721772*(29979200000/1000000000)</f>
        <v>81.596547142399999</v>
      </c>
      <c r="B17">
        <v>0.97596000000000005</v>
      </c>
      <c r="C17">
        <f>MAX(0,(-B17+1/EXP((Data!$L$58*2.54)*(Data!$V$60+Data!$V$61*($A17/1000)+Data!$V$62*($A17/1000)^2+Data!$V$63*($A17/1000)^3+Data!$V$64*($A17/1000)^4+Data!$V$65*($A17/1000)^5+Data!$V$66*($A17/1000)^6+Data!$V$67*($A17/1000)^7))))</f>
        <v>1.802726757921258E-4</v>
      </c>
    </row>
    <row r="18" spans="1:3" x14ac:dyDescent="0.3">
      <c r="A18">
        <f>2.772175*(29979200000/1000000000)</f>
        <v>83.107588759999985</v>
      </c>
      <c r="B18">
        <v>0.95711999999999997</v>
      </c>
      <c r="C18">
        <f>MAX(0,(-B18+1/EXP((Data!$L$58*2.54)*(Data!$V$60+Data!$V$61*($A18/1000)+Data!$V$62*($A18/1000)^2+Data!$V$63*($A18/1000)^3+Data!$V$64*($A18/1000)^4+Data!$V$65*($A18/1000)^5+Data!$V$66*($A18/1000)^6+Data!$V$67*($A18/1000)^7))))</f>
        <v>1.6821442597817815E-2</v>
      </c>
    </row>
    <row r="19" spans="1:3" x14ac:dyDescent="0.3">
      <c r="A19">
        <f>2.822578*(29979200000/1000000000)</f>
        <v>84.618630377599999</v>
      </c>
      <c r="B19">
        <v>0.91435</v>
      </c>
      <c r="C19">
        <f>MAX(0,(-B19+1/EXP((Data!$L$58*2.54)*(Data!$V$60+Data!$V$61*($A19/1000)+Data!$V$62*($A19/1000)^2+Data!$V$63*($A19/1000)^3+Data!$V$64*($A19/1000)^4+Data!$V$65*($A19/1000)^5+Data!$V$66*($A19/1000)^6+Data!$V$67*($A19/1000)^7))))</f>
        <v>5.7402097774491012E-2</v>
      </c>
    </row>
    <row r="20" spans="1:3" x14ac:dyDescent="0.3">
      <c r="A20">
        <f>2.872981*(29979200000/1000000000)</f>
        <v>86.129671995199999</v>
      </c>
      <c r="B20">
        <v>0.92734000000000005</v>
      </c>
      <c r="C20">
        <f>MAX(0,(-B20+1/EXP((Data!$L$58*2.54)*(Data!$V$60+Data!$V$61*($A20/1000)+Data!$V$62*($A20/1000)^2+Data!$V$63*($A20/1000)^3+Data!$V$64*($A20/1000)^4+Data!$V$65*($A20/1000)^5+Data!$V$66*($A20/1000)^6+Data!$V$67*($A20/1000)^7))))</f>
        <v>4.2232196632209562E-2</v>
      </c>
    </row>
    <row r="21" spans="1:3" x14ac:dyDescent="0.3">
      <c r="A21">
        <f>2.923384*(29979200000/1000000000)</f>
        <v>87.640713612799999</v>
      </c>
      <c r="B21">
        <v>0.93406999999999996</v>
      </c>
      <c r="C21">
        <f>MAX(0,(-B21+1/EXP((Data!$L$58*2.54)*(Data!$V$60+Data!$V$61*($A21/1000)+Data!$V$62*($A21/1000)^2+Data!$V$63*($A21/1000)^3+Data!$V$64*($A21/1000)^4+Data!$V$65*($A21/1000)^5+Data!$V$66*($A21/1000)^6+Data!$V$67*($A21/1000)^7))))</f>
        <v>3.3331697808168692E-2</v>
      </c>
    </row>
    <row r="22" spans="1:3" x14ac:dyDescent="0.3">
      <c r="A22">
        <f>2.973787*(29979200000/1000000000)</f>
        <v>89.151755230399999</v>
      </c>
      <c r="B22">
        <v>0.90590000000000004</v>
      </c>
      <c r="C22">
        <f>MAX(0,(-B22+1/EXP((Data!$L$58*2.54)*(Data!$V$60+Data!$V$61*($A22/1000)+Data!$V$62*($A22/1000)^2+Data!$V$63*($A22/1000)^3+Data!$V$64*($A22/1000)^4+Data!$V$65*($A22/1000)^5+Data!$V$66*($A22/1000)^6+Data!$V$67*($A22/1000)^7))))</f>
        <v>5.934056014906397E-2</v>
      </c>
    </row>
    <row r="23" spans="1:3" x14ac:dyDescent="0.3">
      <c r="A23">
        <f>3.02419*(29979200000/1000000000)</f>
        <v>90.662796847999999</v>
      </c>
      <c r="B23">
        <v>0.93298000000000003</v>
      </c>
      <c r="C23">
        <f>MAX(0,(-B23+1/EXP((Data!$L$58*2.54)*(Data!$V$60+Data!$V$61*($A23/1000)+Data!$V$62*($A23/1000)^2+Data!$V$63*($A23/1000)^3+Data!$V$64*($A23/1000)^4+Data!$V$65*($A23/1000)^5+Data!$V$66*($A23/1000)^6+Data!$V$67*($A23/1000)^7))))</f>
        <v>3.0108742709803349E-2</v>
      </c>
    </row>
    <row r="24" spans="1:3" x14ac:dyDescent="0.3">
      <c r="A24">
        <f>3.074593*(29979200000/1000000000)</f>
        <v>92.173838465599999</v>
      </c>
      <c r="B24">
        <v>0.91756000000000004</v>
      </c>
      <c r="C24">
        <f>MAX(0,(-B24+1/EXP((Data!$L$58*2.54)*(Data!$V$60+Data!$V$61*($A24/1000)+Data!$V$62*($A24/1000)^2+Data!$V$63*($A24/1000)^3+Data!$V$64*($A24/1000)^4+Data!$V$65*($A24/1000)^5+Data!$V$66*($A24/1000)^6+Data!$V$67*($A24/1000)^7))))</f>
        <v>4.3386204752227875E-2</v>
      </c>
    </row>
    <row r="25" spans="1:3" x14ac:dyDescent="0.3">
      <c r="A25">
        <f>3.124996*(29979200000/1000000000)</f>
        <v>93.684880083199999</v>
      </c>
      <c r="B25">
        <v>0.91427999999999998</v>
      </c>
      <c r="C25">
        <f>MAX(0,(-B25+1/EXP((Data!$L$58*2.54)*(Data!$V$60+Data!$V$61*($A25/1000)+Data!$V$62*($A25/1000)^2+Data!$V$63*($A25/1000)^3+Data!$V$64*($A25/1000)^4+Data!$V$65*($A25/1000)^5+Data!$V$66*($A25/1000)^6+Data!$V$67*($A25/1000)^7))))</f>
        <v>4.4532905743844942E-2</v>
      </c>
    </row>
    <row r="26" spans="1:3" x14ac:dyDescent="0.3">
      <c r="A26">
        <f>3.175399*(29979200000/1000000000)</f>
        <v>95.1959217008</v>
      </c>
      <c r="B26">
        <v>0.93347999999999998</v>
      </c>
      <c r="C26">
        <f>MAX(0,(-B26+1/EXP((Data!$L$58*2.54)*(Data!$V$60+Data!$V$61*($A26/1000)+Data!$V$62*($A26/1000)^2+Data!$V$63*($A26/1000)^3+Data!$V$64*($A26/1000)^4+Data!$V$65*($A26/1000)^5+Data!$V$66*($A26/1000)^6+Data!$V$67*($A26/1000)^7))))</f>
        <v>2.3208805356565887E-2</v>
      </c>
    </row>
    <row r="27" spans="1:3" x14ac:dyDescent="0.3">
      <c r="A27">
        <f>3.225802*(29979200000/1000000000)</f>
        <v>96.706963318399985</v>
      </c>
      <c r="B27">
        <v>0.94677999999999995</v>
      </c>
      <c r="C27">
        <f>MAX(0,(-B27+1/EXP((Data!$L$58*2.54)*(Data!$V$60+Data!$V$61*($A27/1000)+Data!$V$62*($A27/1000)^2+Data!$V$63*($A27/1000)^3+Data!$V$64*($A27/1000)^4+Data!$V$65*($A27/1000)^5+Data!$V$66*($A27/1000)^6+Data!$V$67*($A27/1000)^7))))</f>
        <v>7.793863465458184E-3</v>
      </c>
    </row>
    <row r="28" spans="1:3" x14ac:dyDescent="0.3">
      <c r="A28">
        <f>3.276205*(29979200000/1000000000)</f>
        <v>98.218004936</v>
      </c>
      <c r="B28">
        <v>0.93576000000000004</v>
      </c>
      <c r="C28">
        <f>MAX(0,(-B28+1/EXP((Data!$L$58*2.54)*(Data!$V$60+Data!$V$61*($A28/1000)+Data!$V$62*($A28/1000)^2+Data!$V$63*($A28/1000)^3+Data!$V$64*($A28/1000)^4+Data!$V$65*($A28/1000)^5+Data!$V$66*($A28/1000)^6+Data!$V$67*($A28/1000)^7))))</f>
        <v>1.67080401475036E-2</v>
      </c>
    </row>
    <row r="29" spans="1:3" x14ac:dyDescent="0.3">
      <c r="A29">
        <f>3.326608*(29979200000/1000000000)</f>
        <v>99.7290465536</v>
      </c>
      <c r="B29">
        <v>0.91046000000000005</v>
      </c>
      <c r="C29">
        <f>MAX(0,(-B29+1/EXP((Data!$L$58*2.54)*(Data!$V$60+Data!$V$61*($A29/1000)+Data!$V$62*($A29/1000)^2+Data!$V$63*($A29/1000)^3+Data!$V$64*($A29/1000)^4+Data!$V$65*($A29/1000)^5+Data!$V$66*($A29/1000)^6+Data!$V$67*($A29/1000)^7))))</f>
        <v>3.9911295680366887E-2</v>
      </c>
    </row>
    <row r="30" spans="1:3" x14ac:dyDescent="0.3">
      <c r="A30">
        <f>3.377011*(29979200000/1000000000)</f>
        <v>101.2400881712</v>
      </c>
      <c r="B30">
        <v>0.90698999999999996</v>
      </c>
      <c r="C30">
        <f>MAX(0,(-B30+1/EXP((Data!$L$58*2.54)*(Data!$V$60+Data!$V$61*($A30/1000)+Data!$V$62*($A30/1000)^2+Data!$V$63*($A30/1000)^3+Data!$V$64*($A30/1000)^4+Data!$V$65*($A30/1000)^5+Data!$V$66*($A30/1000)^6+Data!$V$67*($A30/1000)^7))))</f>
        <v>4.1293590541172986E-2</v>
      </c>
    </row>
    <row r="31" spans="1:3" x14ac:dyDescent="0.3">
      <c r="A31">
        <f>3.427414*(29979200000/1000000000)</f>
        <v>102.7511297888</v>
      </c>
      <c r="B31">
        <v>0.91513999999999995</v>
      </c>
      <c r="C31">
        <f>MAX(0,(-B31+1/EXP((Data!$L$58*2.54)*(Data!$V$60+Data!$V$61*($A31/1000)+Data!$V$62*($A31/1000)^2+Data!$V$63*($A31/1000)^3+Data!$V$64*($A31/1000)^4+Data!$V$65*($A31/1000)^5+Data!$V$66*($A31/1000)^6+Data!$V$67*($A31/1000)^7))))</f>
        <v>3.1064885405292397E-2</v>
      </c>
    </row>
    <row r="32" spans="1:3" x14ac:dyDescent="0.3">
      <c r="A32">
        <f>3.477817*(29979200000/1000000000)</f>
        <v>104.2621714064</v>
      </c>
      <c r="B32">
        <v>0.92379</v>
      </c>
      <c r="C32">
        <f>MAX(0,(-B32+1/EXP((Data!$L$58*2.54)*(Data!$V$60+Data!$V$61*($A32/1000)+Data!$V$62*($A32/1000)^2+Data!$V$63*($A32/1000)^3+Data!$V$64*($A32/1000)^4+Data!$V$65*($A32/1000)^5+Data!$V$66*($A32/1000)^6+Data!$V$67*($A32/1000)^7))))</f>
        <v>2.0345141145138634E-2</v>
      </c>
    </row>
    <row r="33" spans="1:3" x14ac:dyDescent="0.3">
      <c r="A33">
        <f>3.52822*(29979200000/1000000000)</f>
        <v>105.773213024</v>
      </c>
      <c r="B33">
        <v>0.90047999999999995</v>
      </c>
      <c r="C33">
        <f>MAX(0,(-B33+1/EXP((Data!$L$58*2.54)*(Data!$V$60+Data!$V$61*($A33/1000)+Data!$V$62*($A33/1000)^2+Data!$V$63*($A33/1000)^3+Data!$V$64*($A33/1000)^4+Data!$V$65*($A33/1000)^5+Data!$V$66*($A33/1000)^6+Data!$V$67*($A33/1000)^7))))</f>
        <v>4.1594318828970134E-2</v>
      </c>
    </row>
    <row r="34" spans="1:3" x14ac:dyDescent="0.3">
      <c r="A34">
        <f>3.578623*(29979200000/1000000000)</f>
        <v>107.2842546416</v>
      </c>
      <c r="B34">
        <v>0.92149999999999999</v>
      </c>
      <c r="C34">
        <f>MAX(0,(-B34+1/EXP((Data!$L$58*2.54)*(Data!$V$60+Data!$V$61*($A34/1000)+Data!$V$62*($A34/1000)^2+Data!$V$63*($A34/1000)^3+Data!$V$64*($A34/1000)^4+Data!$V$65*($A34/1000)^5+Data!$V$66*($A34/1000)^6+Data!$V$67*($A34/1000)^7))))</f>
        <v>1.8522379719704718E-2</v>
      </c>
    </row>
    <row r="35" spans="1:3" x14ac:dyDescent="0.3">
      <c r="A35">
        <f>3.629026*(29979200000/1000000000)</f>
        <v>108.7952962592</v>
      </c>
      <c r="B35">
        <v>0.92398999999999998</v>
      </c>
      <c r="C35">
        <f>MAX(0,(-B35+1/EXP((Data!$L$58*2.54)*(Data!$V$60+Data!$V$61*($A35/1000)+Data!$V$62*($A35/1000)^2+Data!$V$63*($A35/1000)^3+Data!$V$64*($A35/1000)^4+Data!$V$65*($A35/1000)^5+Data!$V$66*($A35/1000)^6+Data!$V$67*($A35/1000)^7))))</f>
        <v>1.398928527373966E-2</v>
      </c>
    </row>
    <row r="36" spans="1:3" x14ac:dyDescent="0.3">
      <c r="A36">
        <f>3.679429*(29979200000/1000000000)</f>
        <v>110.30633787679999</v>
      </c>
      <c r="B36">
        <v>0.92151000000000005</v>
      </c>
      <c r="C36">
        <f>MAX(0,(-B36+1/EXP((Data!$L$58*2.54)*(Data!$V$60+Data!$V$61*($A36/1000)+Data!$V$62*($A36/1000)^2+Data!$V$63*($A36/1000)^3+Data!$V$64*($A36/1000)^4+Data!$V$65*($A36/1000)^5+Data!$V$66*($A36/1000)^6+Data!$V$67*($A36/1000)^7))))</f>
        <v>1.4434997139782912E-2</v>
      </c>
    </row>
    <row r="37" spans="1:3" x14ac:dyDescent="0.3">
      <c r="A37">
        <f>3.729832*(29979200000/1000000000)</f>
        <v>111.8173794944</v>
      </c>
      <c r="B37">
        <v>0.92793999999999999</v>
      </c>
      <c r="C37">
        <f>MAX(0,(-B37+1/EXP((Data!$L$58*2.54)*(Data!$V$60+Data!$V$61*($A37/1000)+Data!$V$62*($A37/1000)^2+Data!$V$63*($A37/1000)^3+Data!$V$64*($A37/1000)^4+Data!$V$65*($A37/1000)^5+Data!$V$66*($A37/1000)^6+Data!$V$67*($A37/1000)^7))))</f>
        <v>5.9794771576913153E-3</v>
      </c>
    </row>
    <row r="38" spans="1:3" x14ac:dyDescent="0.3">
      <c r="A38">
        <f>3.780235*(29979200000/1000000000)</f>
        <v>113.328421112</v>
      </c>
      <c r="B38">
        <v>0.92205000000000004</v>
      </c>
      <c r="C38">
        <f>MAX(0,(-B38+1/EXP((Data!$L$58*2.54)*(Data!$V$60+Data!$V$61*($A38/1000)+Data!$V$62*($A38/1000)^2+Data!$V$63*($A38/1000)^3+Data!$V$64*($A38/1000)^4+Data!$V$65*($A38/1000)^5+Data!$V$66*($A38/1000)^6+Data!$V$67*($A38/1000)^7))))</f>
        <v>9.85268735731748E-3</v>
      </c>
    </row>
    <row r="39" spans="1:3" x14ac:dyDescent="0.3">
      <c r="A39">
        <f>3.830638*(29979200000/1000000000)</f>
        <v>114.8394627296</v>
      </c>
      <c r="B39">
        <v>0.92418</v>
      </c>
      <c r="C39">
        <f>MAX(0,(-B39+1/EXP((Data!$L$58*2.54)*(Data!$V$60+Data!$V$61*($A39/1000)+Data!$V$62*($A39/1000)^2+Data!$V$63*($A39/1000)^3+Data!$V$64*($A39/1000)^4+Data!$V$65*($A39/1000)^5+Data!$V$66*($A39/1000)^6+Data!$V$67*($A39/1000)^7))))</f>
        <v>5.7145899573650683E-3</v>
      </c>
    </row>
    <row r="40" spans="1:3" x14ac:dyDescent="0.3">
      <c r="A40">
        <f>3.881041*(29979200000/1000000000)</f>
        <v>116.3505043472</v>
      </c>
      <c r="B40">
        <v>0.9123</v>
      </c>
      <c r="C40">
        <f>MAX(0,(-B40+1/EXP((Data!$L$58*2.54)*(Data!$V$60+Data!$V$61*($A40/1000)+Data!$V$62*($A40/1000)^2+Data!$V$63*($A40/1000)^3+Data!$V$64*($A40/1000)^4+Data!$V$65*($A40/1000)^5+Data!$V$66*($A40/1000)^6+Data!$V$67*($A40/1000)^7))))</f>
        <v>1.5595147364252604E-2</v>
      </c>
    </row>
    <row r="41" spans="1:3" x14ac:dyDescent="0.3">
      <c r="A41">
        <f>3.931444*(29979200000/1000000000)</f>
        <v>117.86154596479999</v>
      </c>
      <c r="B41">
        <v>0.91166999999999998</v>
      </c>
      <c r="C41">
        <f>MAX(0,(-B41+1/EXP((Data!$L$58*2.54)*(Data!$V$60+Data!$V$61*($A41/1000)+Data!$V$62*($A41/1000)^2+Data!$V$63*($A41/1000)^3+Data!$V$64*($A41/1000)^4+Data!$V$65*($A41/1000)^5+Data!$V$66*($A41/1000)^6+Data!$V$67*($A41/1000)^7))))</f>
        <v>1.4234322170985414E-2</v>
      </c>
    </row>
    <row r="42" spans="1:3" x14ac:dyDescent="0.3">
      <c r="A42">
        <f>3.981847*(29979200000/1000000000)</f>
        <v>119.3725875824</v>
      </c>
      <c r="B42">
        <v>0.89775000000000005</v>
      </c>
      <c r="C42">
        <f>MAX(0,(-B42+1/EXP((Data!$L$58*2.54)*(Data!$V$60+Data!$V$61*($A42/1000)+Data!$V$62*($A42/1000)^2+Data!$V$63*($A42/1000)^3+Data!$V$64*($A42/1000)^4+Data!$V$65*($A42/1000)^5+Data!$V$66*($A42/1000)^6+Data!$V$67*($A42/1000)^7))))</f>
        <v>2.6172077156035312E-2</v>
      </c>
    </row>
    <row r="43" spans="1:3" x14ac:dyDescent="0.3">
      <c r="A43">
        <f>4.03225*(29979200000/1000000000)</f>
        <v>120.88362919999997</v>
      </c>
      <c r="B43">
        <v>0.90203999999999995</v>
      </c>
      <c r="C43">
        <f>MAX(0,(-B43+1/EXP((Data!$L$58*2.54)*(Data!$V$60+Data!$V$61*($A43/1000)+Data!$V$62*($A43/1000)^2+Data!$V$63*($A43/1000)^3+Data!$V$64*($A43/1000)^4+Data!$V$65*($A43/1000)^5+Data!$V$66*($A43/1000)^6+Data!$V$67*($A43/1000)^7))))</f>
        <v>1.9908375282228996E-2</v>
      </c>
    </row>
    <row r="44" spans="1:3" x14ac:dyDescent="0.3">
      <c r="A44">
        <f>4.082653*(29979200000/1000000000)</f>
        <v>122.39467081760002</v>
      </c>
      <c r="B44">
        <v>0.90668000000000004</v>
      </c>
      <c r="C44">
        <f>MAX(0,(-B44+1/EXP((Data!$L$58*2.54)*(Data!$V$60+Data!$V$61*($A44/1000)+Data!$V$62*($A44/1000)^2+Data!$V$63*($A44/1000)^3+Data!$V$64*($A44/1000)^4+Data!$V$65*($A44/1000)^5+Data!$V$66*($A44/1000)^6+Data!$V$67*($A44/1000)^7))))</f>
        <v>1.3303179695642986E-2</v>
      </c>
    </row>
    <row r="45" spans="1:3" x14ac:dyDescent="0.3">
      <c r="A45">
        <f>4.133056*(29979200000/1000000000)</f>
        <v>123.90571243519999</v>
      </c>
      <c r="B45">
        <v>0.89795999999999998</v>
      </c>
      <c r="C45">
        <f>MAX(0,(-B45+1/EXP((Data!$L$58*2.54)*(Data!$V$60+Data!$V$61*($A45/1000)+Data!$V$62*($A45/1000)^2+Data!$V$63*($A45/1000)^3+Data!$V$64*($A45/1000)^4+Data!$V$65*($A45/1000)^5+Data!$V$66*($A45/1000)^6+Data!$V$67*($A45/1000)^7))))</f>
        <v>2.0066453724509214E-2</v>
      </c>
    </row>
    <row r="46" spans="1:3" x14ac:dyDescent="0.3">
      <c r="A46">
        <f>4.183459*(29979200000/1000000000)</f>
        <v>125.4167540528</v>
      </c>
      <c r="B46">
        <v>0.89525999999999994</v>
      </c>
      <c r="C46">
        <f>MAX(0,(-B46+1/EXP((Data!$L$58*2.54)*(Data!$V$60+Data!$V$61*($A46/1000)+Data!$V$62*($A46/1000)^2+Data!$V$63*($A46/1000)^3+Data!$V$64*($A46/1000)^4+Data!$V$65*($A46/1000)^5+Data!$V$66*($A46/1000)^6+Data!$V$67*($A46/1000)^7))))</f>
        <v>2.0818160878124825E-2</v>
      </c>
    </row>
    <row r="47" spans="1:3" x14ac:dyDescent="0.3">
      <c r="A47">
        <f>4.233862*(29979200000/1000000000)</f>
        <v>126.9277956704</v>
      </c>
      <c r="B47">
        <v>0.89663999999999999</v>
      </c>
      <c r="C47">
        <f>MAX(0,(-B47+1/EXP((Data!$L$58*2.54)*(Data!$V$60+Data!$V$61*($A47/1000)+Data!$V$62*($A47/1000)^2+Data!$V$63*($A47/1000)^3+Data!$V$64*($A47/1000)^4+Data!$V$65*($A47/1000)^5+Data!$V$66*($A47/1000)^6+Data!$V$67*($A47/1000)^7))))</f>
        <v>1.7498264845773104E-2</v>
      </c>
    </row>
    <row r="48" spans="1:3" x14ac:dyDescent="0.3">
      <c r="A48">
        <f>4.284265*(29979200000/1000000000)</f>
        <v>128.43883728799997</v>
      </c>
      <c r="B48">
        <v>0.88170999999999999</v>
      </c>
      <c r="C48">
        <f>MAX(0,(-B48+1/EXP((Data!$L$58*2.54)*(Data!$V$60+Data!$V$61*($A48/1000)+Data!$V$62*($A48/1000)^2+Data!$V$63*($A48/1000)^3+Data!$V$64*($A48/1000)^4+Data!$V$65*($A48/1000)^5+Data!$V$66*($A48/1000)^6+Data!$V$67*($A48/1000)^7))))</f>
        <v>3.0496729495649633E-2</v>
      </c>
    </row>
    <row r="49" spans="1:3" x14ac:dyDescent="0.3">
      <c r="A49">
        <f>4.334668*(29979200000/1000000000)</f>
        <v>129.9498789056</v>
      </c>
      <c r="B49">
        <v>0.86577000000000004</v>
      </c>
      <c r="C49">
        <f>MAX(0,(-B49+1/EXP((Data!$L$58*2.54)*(Data!$V$60+Data!$V$61*($A49/1000)+Data!$V$62*($A49/1000)^2+Data!$V$63*($A49/1000)^3+Data!$V$64*($A49/1000)^4+Data!$V$65*($A49/1000)^5+Data!$V$66*($A49/1000)^6+Data!$V$67*($A49/1000)^7))))</f>
        <v>4.451351887379762E-2</v>
      </c>
    </row>
    <row r="50" spans="1:3" x14ac:dyDescent="0.3">
      <c r="A50">
        <f>4.385071*(29979200000/1000000000)</f>
        <v>131.4609205232</v>
      </c>
      <c r="B50">
        <v>0.86070999999999998</v>
      </c>
      <c r="C50">
        <f>MAX(0,(-B50+1/EXP((Data!$L$58*2.54)*(Data!$V$60+Data!$V$61*($A50/1000)+Data!$V$62*($A50/1000)^2+Data!$V$63*($A50/1000)^3+Data!$V$64*($A50/1000)^4+Data!$V$65*($A50/1000)^5+Data!$V$66*($A50/1000)^6+Data!$V$67*($A50/1000)^7))))</f>
        <v>4.7658597203050435E-2</v>
      </c>
    </row>
    <row r="51" spans="1:3" x14ac:dyDescent="0.3">
      <c r="A51">
        <f>4.435474*(29979200000/1000000000)</f>
        <v>132.9719621408</v>
      </c>
      <c r="B51">
        <v>0.84992999999999996</v>
      </c>
      <c r="C51">
        <f>MAX(0,(-B51+1/EXP((Data!$L$58*2.54)*(Data!$V$60+Data!$V$61*($A51/1000)+Data!$V$62*($A51/1000)^2+Data!$V$63*($A51/1000)^3+Data!$V$64*($A51/1000)^4+Data!$V$65*($A51/1000)^5+Data!$V$66*($A51/1000)^6+Data!$V$67*($A51/1000)^7))))</f>
        <v>5.6531928881979776E-2</v>
      </c>
    </row>
    <row r="52" spans="1:3" x14ac:dyDescent="0.3">
      <c r="A52">
        <f>4.485877*(29979200000/1000000000)</f>
        <v>134.4830037584</v>
      </c>
      <c r="B52">
        <v>0.83392999999999995</v>
      </c>
      <c r="C52">
        <f>MAX(0,(-B52+1/EXP((Data!$L$58*2.54)*(Data!$V$60+Data!$V$61*($A52/1000)+Data!$V$62*($A52/1000)^2+Data!$V$63*($A52/1000)^3+Data!$V$64*($A52/1000)^4+Data!$V$65*($A52/1000)^5+Data!$V$66*($A52/1000)^6+Data!$V$67*($A52/1000)^7))))</f>
        <v>7.0633478483855261E-2</v>
      </c>
    </row>
    <row r="53" spans="1:3" x14ac:dyDescent="0.3">
      <c r="A53">
        <f>4.53628*(29979200000/1000000000)</f>
        <v>135.99404537599997</v>
      </c>
      <c r="B53">
        <v>0.81169999999999998</v>
      </c>
      <c r="C53">
        <f>MAX(0,(-B53+1/EXP((Data!$L$58*2.54)*(Data!$V$60+Data!$V$61*($A53/1000)+Data!$V$62*($A53/1000)^2+Data!$V$63*($A53/1000)^3+Data!$V$64*($A53/1000)^4+Data!$V$65*($A53/1000)^5+Data!$V$66*($A53/1000)^6+Data!$V$67*($A53/1000)^7))))</f>
        <v>9.0973210755607048E-2</v>
      </c>
    </row>
    <row r="54" spans="1:3" x14ac:dyDescent="0.3">
      <c r="A54">
        <f>4.586683*(29979200000/1000000000)</f>
        <v>137.5050869936</v>
      </c>
      <c r="B54">
        <v>0.79510000000000003</v>
      </c>
      <c r="C54">
        <f>MAX(0,(-B54+1/EXP((Data!$L$58*2.54)*(Data!$V$60+Data!$V$61*($A54/1000)+Data!$V$62*($A54/1000)^2+Data!$V$63*($A54/1000)^3+Data!$V$64*($A54/1000)^4+Data!$V$65*($A54/1000)^5+Data!$V$66*($A54/1000)^6+Data!$V$67*($A54/1000)^7))))</f>
        <v>0.10569109061679816</v>
      </c>
    </row>
    <row r="55" spans="1:3" x14ac:dyDescent="0.3">
      <c r="A55">
        <f>4.637086*(29979200000/1000000000)</f>
        <v>139.0161286112</v>
      </c>
      <c r="B55">
        <v>0.77793999999999996</v>
      </c>
      <c r="C55">
        <f>MAX(0,(-B55+1/EXP((Data!$L$58*2.54)*(Data!$V$60+Data!$V$61*($A55/1000)+Data!$V$62*($A55/1000)^2+Data!$V$63*($A55/1000)^3+Data!$V$64*($A55/1000)^4+Data!$V$65*($A55/1000)^5+Data!$V$66*($A55/1000)^6+Data!$V$67*($A55/1000)^7))))</f>
        <v>0.12097708315860445</v>
      </c>
    </row>
    <row r="56" spans="1:3" x14ac:dyDescent="0.3">
      <c r="A56">
        <f>4.687489*(29979200000/1000000000)</f>
        <v>140.5271702288</v>
      </c>
      <c r="B56">
        <v>0.72897999999999996</v>
      </c>
      <c r="C56">
        <f>MAX(0,(-B56+1/EXP((Data!$L$58*2.54)*(Data!$V$60+Data!$V$61*($A56/1000)+Data!$V$62*($A56/1000)^2+Data!$V$63*($A56/1000)^3+Data!$V$64*($A56/1000)^4+Data!$V$65*($A56/1000)^5+Data!$V$66*($A56/1000)^6+Data!$V$67*($A56/1000)^7))))</f>
        <v>0.16807115364279912</v>
      </c>
    </row>
    <row r="57" spans="1:3" x14ac:dyDescent="0.3">
      <c r="A57">
        <f>4.737892*(29979200000/1000000000)</f>
        <v>142.0382118464</v>
      </c>
      <c r="B57">
        <v>0.62175000000000002</v>
      </c>
      <c r="C57">
        <f>MAX(0,(-B57+1/EXP((Data!$L$58*2.54)*(Data!$V$60+Data!$V$61*($A57/1000)+Data!$V$62*($A57/1000)^2+Data!$V$63*($A57/1000)^3+Data!$V$64*($A57/1000)^4+Data!$V$65*($A57/1000)^5+Data!$V$66*($A57/1000)^6+Data!$V$67*($A57/1000)^7))))</f>
        <v>0.27344326750074743</v>
      </c>
    </row>
    <row r="58" spans="1:3" x14ac:dyDescent="0.3">
      <c r="A58">
        <f>4.788295*(29979200000/1000000000)</f>
        <v>143.54925346399997</v>
      </c>
      <c r="B58">
        <v>0.46579999999999999</v>
      </c>
      <c r="C58">
        <f>MAX(0,(-B58+1/EXP((Data!$L$58*2.54)*(Data!$V$60+Data!$V$61*($A58/1000)+Data!$V$62*($A58/1000)^2+Data!$V$63*($A58/1000)^3+Data!$V$64*($A58/1000)^4+Data!$V$65*($A58/1000)^5+Data!$V$66*($A58/1000)^6+Data!$V$67*($A58/1000)^7))))</f>
        <v>0.42754339033240585</v>
      </c>
    </row>
    <row r="59" spans="1:3" x14ac:dyDescent="0.3">
      <c r="A59">
        <f>4.838698*(29979200000/1000000000)</f>
        <v>145.06029508160003</v>
      </c>
      <c r="B59">
        <v>0.30235000000000001</v>
      </c>
      <c r="C59">
        <f>MAX(0,(-B59+1/EXP((Data!$L$58*2.54)*(Data!$V$60+Data!$V$61*($A59/1000)+Data!$V$62*($A59/1000)^2+Data!$V$63*($A59/1000)^3+Data!$V$64*($A59/1000)^4+Data!$V$65*($A59/1000)^5+Data!$V$66*($A59/1000)^6+Data!$V$67*($A59/1000)^7))))</f>
        <v>0.58915148790533001</v>
      </c>
    </row>
    <row r="60" spans="1:3" x14ac:dyDescent="0.3">
      <c r="A60">
        <f>4.889101*(29979200000/1000000000)</f>
        <v>146.5713366992</v>
      </c>
      <c r="B60">
        <v>0.17097999999999999</v>
      </c>
      <c r="C60">
        <f>MAX(0,(-B60+1/EXP((Data!$L$58*2.54)*(Data!$V$60+Data!$V$61*($A60/1000)+Data!$V$62*($A60/1000)^2+Data!$V$63*($A60/1000)^3+Data!$V$64*($A60/1000)^4+Data!$V$65*($A60/1000)^5+Data!$V$66*($A60/1000)^6+Data!$V$67*($A60/1000)^7))))</f>
        <v>0.71868752615368892</v>
      </c>
    </row>
    <row r="61" spans="1:3" x14ac:dyDescent="0.3">
      <c r="A61">
        <f>4.939504*(29979200000/1000000000)</f>
        <v>148.0823783168</v>
      </c>
      <c r="B61">
        <v>9.1200000000000003E-2</v>
      </c>
      <c r="C61">
        <f>MAX(0,(-B61+1/EXP((Data!$L$58*2.54)*(Data!$V$60+Data!$V$61*($A61/1000)+Data!$V$62*($A61/1000)^2+Data!$V$63*($A61/1000)^3+Data!$V$64*($A61/1000)^4+Data!$V$65*($A61/1000)^5+Data!$V$66*($A61/1000)^6+Data!$V$67*($A61/1000)^7))))</f>
        <v>0.79664147117728534</v>
      </c>
    </row>
    <row r="62" spans="1:3" x14ac:dyDescent="0.3">
      <c r="A62">
        <f>4.989907*(29979200000/1000000000)</f>
        <v>149.5934199344</v>
      </c>
      <c r="B62">
        <v>4.9610000000000001E-2</v>
      </c>
      <c r="C62">
        <f>MAX(0,(-B62+1/EXP((Data!$L$58*2.54)*(Data!$V$60+Data!$V$61*($A62/1000)+Data!$V$62*($A62/1000)^2+Data!$V$63*($A62/1000)^3+Data!$V$64*($A62/1000)^4+Data!$V$65*($A62/1000)^5+Data!$V$66*($A62/1000)^6+Data!$V$67*($A62/1000)^7))))</f>
        <v>0.83641328924058334</v>
      </c>
    </row>
    <row r="63" spans="1:3" x14ac:dyDescent="0.3">
      <c r="A63">
        <f>5.04031*(29979200000/1000000000)</f>
        <v>151.10446155199998</v>
      </c>
      <c r="B63">
        <v>2.904E-2</v>
      </c>
      <c r="C63">
        <f>MAX(0,(-B63+1/EXP((Data!$L$58*2.54)*(Data!$V$60+Data!$V$61*($A63/1000)+Data!$V$62*($A63/1000)^2+Data!$V$63*($A63/1000)^3+Data!$V$64*($A63/1000)^4+Data!$V$65*($A63/1000)^5+Data!$V$66*($A63/1000)^6+Data!$V$67*($A63/1000)^7))))</f>
        <v>0.85517294677174394</v>
      </c>
    </row>
    <row r="64" spans="1:3" x14ac:dyDescent="0.3">
      <c r="A64">
        <f>5.090713*(29979200000/1000000000)</f>
        <v>152.6155031696</v>
      </c>
      <c r="B64">
        <v>1.9259999999999999E-2</v>
      </c>
      <c r="C64">
        <f>MAX(0,(-B64+1/EXP((Data!$L$58*2.54)*(Data!$V$60+Data!$V$61*($A64/1000)+Data!$V$62*($A64/1000)^2+Data!$V$63*($A64/1000)^3+Data!$V$64*($A64/1000)^4+Data!$V$65*($A64/1000)^5+Data!$V$66*($A64/1000)^6+Data!$V$67*($A64/1000)^7))))</f>
        <v>0.86315041036166473</v>
      </c>
    </row>
    <row r="65" spans="1:3" x14ac:dyDescent="0.3">
      <c r="A65">
        <f>5.141116*(29979200000/1000000000)</f>
        <v>154.1265447872</v>
      </c>
      <c r="B65">
        <v>1.359E-2</v>
      </c>
      <c r="C65">
        <f>MAX(0,(-B65+1/EXP((Data!$L$58*2.54)*(Data!$V$60+Data!$V$61*($A65/1000)+Data!$V$62*($A65/1000)^2+Data!$V$63*($A65/1000)^3+Data!$V$64*($A65/1000)^4+Data!$V$65*($A65/1000)^5+Data!$V$66*($A65/1000)^6+Data!$V$67*($A65/1000)^7))))</f>
        <v>0.86702564676302907</v>
      </c>
    </row>
    <row r="66" spans="1:3" x14ac:dyDescent="0.3">
      <c r="A66">
        <f>5.191519*(29979200000/1000000000)</f>
        <v>155.63758640479998</v>
      </c>
      <c r="B66">
        <v>1.0290000000000001E-2</v>
      </c>
      <c r="C66">
        <f>MAX(0,(-B66+1/EXP((Data!$L$58*2.54)*(Data!$V$60+Data!$V$61*($A66/1000)+Data!$V$62*($A66/1000)^2+Data!$V$63*($A66/1000)^3+Data!$V$64*($A66/1000)^4+Data!$V$65*($A66/1000)^5+Data!$V$66*($A66/1000)^6+Data!$V$67*($A66/1000)^7))))</f>
        <v>0.86853862288935857</v>
      </c>
    </row>
    <row r="67" spans="1:3" x14ac:dyDescent="0.3">
      <c r="A67">
        <f>5.241922*(29979200000/1000000000)</f>
        <v>157.1486280224</v>
      </c>
      <c r="B67">
        <v>8.3899999999999999E-3</v>
      </c>
      <c r="C67">
        <f>MAX(0,(-B67+1/EXP((Data!$L$58*2.54)*(Data!$V$60+Data!$V$61*($A67/1000)+Data!$V$62*($A67/1000)^2+Data!$V$63*($A67/1000)^3+Data!$V$64*($A67/1000)^4+Data!$V$65*($A67/1000)^5+Data!$V$66*($A67/1000)^6+Data!$V$67*($A67/1000)^7))))</f>
        <v>0.86865930581407547</v>
      </c>
    </row>
    <row r="68" spans="1:3" x14ac:dyDescent="0.3">
      <c r="A68">
        <f>5.292325*(29979200000/1000000000)</f>
        <v>158.65966964</v>
      </c>
      <c r="B68">
        <v>6.9499999999999996E-3</v>
      </c>
      <c r="C68">
        <f>MAX(0,(-B68+1/EXP((Data!$L$58*2.54)*(Data!$V$60+Data!$V$61*($A68/1000)+Data!$V$62*($A68/1000)^2+Data!$V$63*($A68/1000)^3+Data!$V$64*($A68/1000)^4+Data!$V$65*($A68/1000)^5+Data!$V$66*($A68/1000)^6+Data!$V$67*($A68/1000)^7))))</f>
        <v>0.86832766276956863</v>
      </c>
    </row>
    <row r="69" spans="1:3" x14ac:dyDescent="0.3">
      <c r="A69">
        <f>5.342728*(29979200000/1000000000)</f>
        <v>160.1707112576</v>
      </c>
      <c r="B69">
        <v>4.5700000000000003E-3</v>
      </c>
      <c r="C69">
        <f>MAX(0,(-B69+1/EXP((Data!$L$58*2.54)*(Data!$V$60+Data!$V$61*($A69/1000)+Data!$V$62*($A69/1000)^2+Data!$V$63*($A69/1000)^3+Data!$V$64*($A69/1000)^4+Data!$V$65*($A69/1000)^5+Data!$V$66*($A69/1000)^6+Data!$V$67*($A69/1000)^7))))</f>
        <v>0.8689436611462672</v>
      </c>
    </row>
    <row r="70" spans="1:3" x14ac:dyDescent="0.3">
      <c r="A70">
        <f>5.393131*(29979200000/1000000000)</f>
        <v>161.6817528752</v>
      </c>
      <c r="B70">
        <v>2.7299999999999998E-3</v>
      </c>
      <c r="C70">
        <f>MAX(0,(-B70+1/EXP((Data!$L$58*2.54)*(Data!$V$60+Data!$V$61*($A70/1000)+Data!$V$62*($A70/1000)^2+Data!$V$63*($A70/1000)^3+Data!$V$64*($A70/1000)^4+Data!$V$65*($A70/1000)^5+Data!$V$66*($A70/1000)^6+Data!$V$67*($A70/1000)^7))))</f>
        <v>0.86902726849172118</v>
      </c>
    </row>
    <row r="71" spans="1:3" x14ac:dyDescent="0.3">
      <c r="A71">
        <f>5.443534*(29979200000/1000000000)</f>
        <v>163.19279449279998</v>
      </c>
      <c r="B71">
        <v>1.16E-3</v>
      </c>
      <c r="C71">
        <f>MAX(0,(-B71+1/EXP((Data!$L$58*2.54)*(Data!$V$60+Data!$V$61*($A71/1000)+Data!$V$62*($A71/1000)^2+Data!$V$63*($A71/1000)^3+Data!$V$64*($A71/1000)^4+Data!$V$65*($A71/1000)^5+Data!$V$66*($A71/1000)^6+Data!$V$67*($A71/1000)^7))))</f>
        <v>0.86884845250968645</v>
      </c>
    </row>
    <row r="72" spans="1:3" x14ac:dyDescent="0.3">
      <c r="A72">
        <f>5.493937*(29979200000/1000000000)</f>
        <v>164.7038361104</v>
      </c>
      <c r="B72">
        <v>4.6000000000000001E-4</v>
      </c>
      <c r="C72">
        <f>MAX(0,(-B72+1/EXP((Data!$L$58*2.54)*(Data!$V$60+Data!$V$61*($A72/1000)+Data!$V$62*($A72/1000)^2+Data!$V$63*($A72/1000)^3+Data!$V$64*($A72/1000)^4+Data!$V$65*($A72/1000)^5+Data!$V$66*($A72/1000)^6+Data!$V$67*($A72/1000)^7))))</f>
        <v>0.86780718105921739</v>
      </c>
    </row>
    <row r="73" spans="1:3" x14ac:dyDescent="0.3">
      <c r="A73">
        <f>5.54434*(29979200000/1000000000)</f>
        <v>166.214877728</v>
      </c>
      <c r="B73">
        <v>1.64E-3</v>
      </c>
      <c r="C73">
        <f>MAX(0,(-B73+1/EXP((Data!$L$58*2.54)*(Data!$V$60+Data!$V$61*($A73/1000)+Data!$V$62*($A73/1000)^2+Data!$V$63*($A73/1000)^3+Data!$V$64*($A73/1000)^4+Data!$V$65*($A73/1000)^5+Data!$V$66*($A73/1000)^6+Data!$V$67*($A73/1000)^7))))</f>
        <v>0.86489342215376541</v>
      </c>
    </row>
    <row r="74" spans="1:3" x14ac:dyDescent="0.3">
      <c r="A74">
        <f>5.594743*(29979200000/1000000000)</f>
        <v>167.7259193456</v>
      </c>
      <c r="B74">
        <v>2.1900000000000001E-3</v>
      </c>
      <c r="C74">
        <f>MAX(0,(-B74+1/EXP((Data!$L$58*2.54)*(Data!$V$60+Data!$V$61*($A74/1000)+Data!$V$62*($A74/1000)^2+Data!$V$63*($A74/1000)^3+Data!$V$64*($A74/1000)^4+Data!$V$65*($A74/1000)^5+Data!$V$66*($A74/1000)^6+Data!$V$67*($A74/1000)^7))))</f>
        <v>0.86261714396028333</v>
      </c>
    </row>
    <row r="75" spans="1:3" x14ac:dyDescent="0.3">
      <c r="A75">
        <f>5.645146*(29979200000/1000000000)</f>
        <v>169.2369609632</v>
      </c>
      <c r="B75">
        <v>4.4999999999999999E-4</v>
      </c>
      <c r="C75">
        <f>MAX(0,(-B75+1/EXP((Data!$L$58*2.54)*(Data!$V$60+Data!$V$61*($A75/1000)+Data!$V$62*($A75/1000)^2+Data!$V$63*($A75/1000)^3+Data!$V$64*($A75/1000)^4+Data!$V$65*($A75/1000)^5+Data!$V$66*($A75/1000)^6+Data!$V$67*($A75/1000)^7))))</f>
        <v>0.86263831479833597</v>
      </c>
    </row>
    <row r="76" spans="1:3" x14ac:dyDescent="0.3">
      <c r="A76">
        <f>5.695549*(29979200000/1000000000)</f>
        <v>170.74800258079998</v>
      </c>
      <c r="B76">
        <v>3.1E-4</v>
      </c>
      <c r="C76">
        <f>MAX(0,(-B76+1/EXP((Data!$L$58*2.54)*(Data!$V$60+Data!$V$61*($A76/1000)+Data!$V$62*($A76/1000)^2+Data!$V$63*($A76/1000)^3+Data!$V$64*($A76/1000)^4+Data!$V$65*($A76/1000)^5+Data!$V$66*($A76/1000)^6+Data!$V$67*($A76/1000)^7))))</f>
        <v>0.86106690313921608</v>
      </c>
    </row>
    <row r="77" spans="1:3" x14ac:dyDescent="0.3">
      <c r="A77">
        <f>5.745952*(29979200000/1000000000)</f>
        <v>172.25904419840001</v>
      </c>
      <c r="B77">
        <v>6.8999999999999997E-4</v>
      </c>
      <c r="C77">
        <f>MAX(0,(-B77+1/EXP((Data!$L$58*2.54)*(Data!$V$60+Data!$V$61*($A77/1000)+Data!$V$62*($A77/1000)^2+Data!$V$63*($A77/1000)^3+Data!$V$64*($A77/1000)^4+Data!$V$65*($A77/1000)^5+Data!$V$66*($A77/1000)^6+Data!$V$67*($A77/1000)^7))))</f>
        <v>0.85898287760506775</v>
      </c>
    </row>
    <row r="78" spans="1:3" x14ac:dyDescent="0.3">
      <c r="A78">
        <f>5.796355*(29979200000/1000000000)</f>
        <v>173.77008581600001</v>
      </c>
      <c r="B78">
        <v>0</v>
      </c>
      <c r="C78">
        <f>MAX(0,(-B78+1/EXP((Data!$L$58*2.54)*(Data!$V$60+Data!$V$61*($A78/1000)+Data!$V$62*($A78/1000)^2+Data!$V$63*($A78/1000)^3+Data!$V$64*($A78/1000)^4+Data!$V$65*($A78/1000)^5+Data!$V$66*($A78/1000)^6+Data!$V$67*($A78/1000)^7))))</f>
        <v>0.85797620696801402</v>
      </c>
    </row>
    <row r="79" spans="1:3" x14ac:dyDescent="0.3">
      <c r="A79">
        <f>5.846758*(29979200000/1000000000)</f>
        <v>175.28112743360001</v>
      </c>
      <c r="B79">
        <v>0</v>
      </c>
      <c r="C79">
        <f>MAX(0,(-B79+1/EXP((Data!$L$58*2.54)*(Data!$V$60+Data!$V$61*($A79/1000)+Data!$V$62*($A79/1000)^2+Data!$V$63*($A79/1000)^3+Data!$V$64*($A79/1000)^4+Data!$V$65*($A79/1000)^5+Data!$V$66*($A79/1000)^6+Data!$V$67*($A79/1000)^7))))</f>
        <v>0.85628686014929112</v>
      </c>
    </row>
    <row r="80" spans="1:3" x14ac:dyDescent="0.3">
      <c r="A80">
        <f>5.897161*(29979200000/1000000000)</f>
        <v>176.79216905120001</v>
      </c>
      <c r="B80">
        <v>3.1E-4</v>
      </c>
      <c r="C80">
        <f>MAX(0,(-B80+1/EXP((Data!$L$58*2.54)*(Data!$V$60+Data!$V$61*($A80/1000)+Data!$V$62*($A80/1000)^2+Data!$V$63*($A80/1000)^3+Data!$V$64*($A80/1000)^4+Data!$V$65*($A80/1000)^5+Data!$V$66*($A80/1000)^6+Data!$V$67*($A80/1000)^7))))</f>
        <v>0.85429480621838805</v>
      </c>
    </row>
    <row r="81" spans="1:3" x14ac:dyDescent="0.3">
      <c r="A81">
        <f>5.947564*(29979200000/1000000000)</f>
        <v>178.30321066879998</v>
      </c>
      <c r="B81">
        <v>0</v>
      </c>
      <c r="C81">
        <f>MAX(0,(-B81+1/EXP((Data!$L$58*2.54)*(Data!$V$60+Data!$V$61*($A81/1000)+Data!$V$62*($A81/1000)^2+Data!$V$63*($A81/1000)^3+Data!$V$64*($A81/1000)^4+Data!$V$65*($A81/1000)^5+Data!$V$66*($A81/1000)^6+Data!$V$67*($A81/1000)^7))))</f>
        <v>0.85293001439219329</v>
      </c>
    </row>
    <row r="82" spans="1:3" x14ac:dyDescent="0.3">
      <c r="A82">
        <f>5.997967*(29979200000/1000000000)</f>
        <v>179.81425228640001</v>
      </c>
      <c r="B82">
        <v>0</v>
      </c>
      <c r="C82">
        <f>MAX(0,(-B82+1/EXP((Data!$L$58*2.54)*(Data!$V$60+Data!$V$61*($A82/1000)+Data!$V$62*($A82/1000)^2+Data!$V$63*($A82/1000)^3+Data!$V$64*($A82/1000)^4+Data!$V$65*($A82/1000)^5+Data!$V$66*($A82/1000)^6+Data!$V$67*($A82/1000)^7))))</f>
        <v>0.85126245403414491</v>
      </c>
    </row>
    <row r="83" spans="1:3" x14ac:dyDescent="0.3">
      <c r="A83">
        <f>6.04837*(29979200000/1000000000)</f>
        <v>181.32529390400001</v>
      </c>
      <c r="B83">
        <v>5.8E-4</v>
      </c>
      <c r="C83">
        <f>MAX(0,(-B83+1/EXP((Data!$L$58*2.54)*(Data!$V$60+Data!$V$61*($A83/1000)+Data!$V$62*($A83/1000)^2+Data!$V$63*($A83/1000)^3+Data!$V$64*($A83/1000)^4+Data!$V$65*($A83/1000)^5+Data!$V$66*($A83/1000)^6+Data!$V$67*($A83/1000)^7))))</f>
        <v>0.84902209465338807</v>
      </c>
    </row>
    <row r="84" spans="1:3" x14ac:dyDescent="0.3">
      <c r="A84">
        <f>6.098773*(29979200000/1000000000)</f>
        <v>182.83633552159998</v>
      </c>
      <c r="B84">
        <v>4.6000000000000001E-4</v>
      </c>
      <c r="C84">
        <f>MAX(0,(-B84+1/EXP((Data!$L$58*2.54)*(Data!$V$60+Data!$V$61*($A84/1000)+Data!$V$62*($A84/1000)^2+Data!$V$63*($A84/1000)^3+Data!$V$64*($A84/1000)^4+Data!$V$65*($A84/1000)^5+Data!$V$66*($A84/1000)^6+Data!$V$67*($A84/1000)^7))))</f>
        <v>0.84748890590393799</v>
      </c>
    </row>
    <row r="85" spans="1:3" x14ac:dyDescent="0.3">
      <c r="A85">
        <f>6.149176*(29979200000/1000000000)</f>
        <v>184.34737713920001</v>
      </c>
      <c r="B85">
        <v>1.17E-3</v>
      </c>
      <c r="C85">
        <f>MAX(0,(-B85+1/EXP((Data!$L$58*2.54)*(Data!$V$60+Data!$V$61*($A85/1000)+Data!$V$62*($A85/1000)^2+Data!$V$63*($A85/1000)^3+Data!$V$64*($A85/1000)^4+Data!$V$65*($A85/1000)^5+Data!$V$66*($A85/1000)^6+Data!$V$67*($A85/1000)^7))))</f>
        <v>0.84513285758384638</v>
      </c>
    </row>
    <row r="86" spans="1:3" x14ac:dyDescent="0.3">
      <c r="A86">
        <f>6.199579*(29979200000/1000000000)</f>
        <v>185.85841875679998</v>
      </c>
      <c r="B86">
        <v>1.81E-3</v>
      </c>
      <c r="C86">
        <f>MAX(0,(-B86+1/EXP((Data!$L$58*2.54)*(Data!$V$60+Data!$V$61*($A86/1000)+Data!$V$62*($A86/1000)^2+Data!$V$63*($A86/1000)^3+Data!$V$64*($A86/1000)^4+Data!$V$65*($A86/1000)^5+Data!$V$66*($A86/1000)^6+Data!$V$67*($A86/1000)^7))))</f>
        <v>0.84285391963437761</v>
      </c>
    </row>
    <row r="87" spans="1:3" x14ac:dyDescent="0.3">
      <c r="A87">
        <f>6.249982*(29979200000/1000000000)</f>
        <v>187.36946037440003</v>
      </c>
      <c r="B87">
        <v>2.3E-3</v>
      </c>
      <c r="C87">
        <f>MAX(0,(-B87+1/EXP((Data!$L$58*2.54)*(Data!$V$60+Data!$V$61*($A87/1000)+Data!$V$62*($A87/1000)^2+Data!$V$63*($A87/1000)^3+Data!$V$64*($A87/1000)^4+Data!$V$65*($A87/1000)^5+Data!$V$66*($A87/1000)^6+Data!$V$67*($A87/1000)^7))))</f>
        <v>0.84073206213918483</v>
      </c>
    </row>
    <row r="88" spans="1:3" x14ac:dyDescent="0.3">
      <c r="A88">
        <f>6.300385*(29979200000/1000000000)</f>
        <v>188.88050199200001</v>
      </c>
      <c r="B88">
        <v>8.5999999999999998E-4</v>
      </c>
      <c r="C88">
        <f>MAX(0,(-B88+1/EXP((Data!$L$58*2.54)*(Data!$V$60+Data!$V$61*($A88/1000)+Data!$V$62*($A88/1000)^2+Data!$V$63*($A88/1000)^3+Data!$V$64*($A88/1000)^4+Data!$V$65*($A88/1000)^5+Data!$V$66*($A88/1000)^6+Data!$V$67*($A88/1000)^7))))</f>
        <v>0.84054725532349661</v>
      </c>
    </row>
    <row r="89" spans="1:3" x14ac:dyDescent="0.3">
      <c r="A89">
        <f>6.350788*(29979200000/1000000000)</f>
        <v>190.39154360959998</v>
      </c>
      <c r="B89">
        <v>0</v>
      </c>
      <c r="C89">
        <f>MAX(0,(-B89+1/EXP((Data!$L$58*2.54)*(Data!$V$60+Data!$V$61*($A89/1000)+Data!$V$62*($A89/1000)^2+Data!$V$63*($A89/1000)^3+Data!$V$64*($A89/1000)^4+Data!$V$65*($A89/1000)^5+Data!$V$66*($A89/1000)^6+Data!$V$67*($A89/1000)^7))))</f>
        <v>0.83978946955330558</v>
      </c>
    </row>
    <row r="90" spans="1:3" x14ac:dyDescent="0.3">
      <c r="A90">
        <f>6.401191*(29979200000/1000000000)</f>
        <v>191.90258522720001</v>
      </c>
      <c r="B90">
        <v>0</v>
      </c>
      <c r="C90">
        <f>MAX(0,(-B90+1/EXP((Data!$L$58*2.54)*(Data!$V$60+Data!$V$61*($A90/1000)+Data!$V$62*($A90/1000)^2+Data!$V$63*($A90/1000)^3+Data!$V$64*($A90/1000)^4+Data!$V$65*($A90/1000)^5+Data!$V$66*($A90/1000)^6+Data!$V$67*($A90/1000)^7))))</f>
        <v>0.83817867533456325</v>
      </c>
    </row>
    <row r="91" spans="1:3" x14ac:dyDescent="0.3">
      <c r="A91">
        <f>6.451594*(29979200000/1000000000)</f>
        <v>193.41362684480001</v>
      </c>
      <c r="B91">
        <v>0</v>
      </c>
      <c r="C91">
        <f>MAX(0,(-B91+1/EXP((Data!$L$58*2.54)*(Data!$V$60+Data!$V$61*($A91/1000)+Data!$V$62*($A91/1000)^2+Data!$V$63*($A91/1000)^3+Data!$V$64*($A91/1000)^4+Data!$V$65*($A91/1000)^5+Data!$V$66*($A91/1000)^6+Data!$V$67*($A91/1000)^7))))</f>
        <v>0.8365748433123813</v>
      </c>
    </row>
    <row r="92" spans="1:3" x14ac:dyDescent="0.3">
      <c r="A92">
        <f>6.501997*(29979200000/1000000000)</f>
        <v>194.92466846240004</v>
      </c>
      <c r="B92">
        <v>3.6000000000000002E-4</v>
      </c>
      <c r="C92">
        <f>MAX(0,(-B92+1/EXP((Data!$L$58*2.54)*(Data!$V$60+Data!$V$61*($A92/1000)+Data!$V$62*($A92/1000)^2+Data!$V$63*($A92/1000)^3+Data!$V$64*($A92/1000)^4+Data!$V$65*($A92/1000)^5+Data!$V$66*($A92/1000)^6+Data!$V$67*($A92/1000)^7))))</f>
        <v>0.83461794427023595</v>
      </c>
    </row>
    <row r="93" spans="1:3" x14ac:dyDescent="0.3">
      <c r="A93">
        <f>6.5524*(29979200000/1000000000)</f>
        <v>196.43571008000001</v>
      </c>
      <c r="B93">
        <v>1.1299999999999999E-3</v>
      </c>
      <c r="C93">
        <f>MAX(0,(-B93+1/EXP((Data!$L$58*2.54)*(Data!$V$60+Data!$V$61*($A93/1000)+Data!$V$62*($A93/1000)^2+Data!$V$63*($A93/1000)^3+Data!$V$64*($A93/1000)^4+Data!$V$65*($A93/1000)^5+Data!$V$66*($A93/1000)^6+Data!$V$67*($A93/1000)^7))))</f>
        <v>0.83225794912917961</v>
      </c>
    </row>
    <row r="94" spans="1:3" x14ac:dyDescent="0.3">
      <c r="A94">
        <f>6.602803*(29979200000/1000000000)</f>
        <v>197.94675169759998</v>
      </c>
      <c r="B94">
        <v>9.2000000000000003E-4</v>
      </c>
      <c r="C94">
        <f>MAX(0,(-B94+1/EXP((Data!$L$58*2.54)*(Data!$V$60+Data!$V$61*($A94/1000)+Data!$V$62*($A94/1000)^2+Data!$V$63*($A94/1000)^3+Data!$V$64*($A94/1000)^4+Data!$V$65*($A94/1000)^5+Data!$V$66*($A94/1000)^6+Data!$V$67*($A94/1000)^7))))</f>
        <v>0.83088482894705551</v>
      </c>
    </row>
    <row r="95" spans="1:3" x14ac:dyDescent="0.3">
      <c r="A95">
        <f>6.653206*(29979200000/1000000000)</f>
        <v>199.45779331520001</v>
      </c>
      <c r="B95">
        <v>3.4000000000000002E-4</v>
      </c>
      <c r="C95">
        <f>MAX(0,(-B95+1/EXP((Data!$L$58*2.54)*(Data!$V$60+Data!$V$61*($A95/1000)+Data!$V$62*($A95/1000)^2+Data!$V$63*($A95/1000)^3+Data!$V$64*($A95/1000)^4+Data!$V$65*($A95/1000)^5+Data!$V$66*($A95/1000)^6+Data!$V$67*($A95/1000)^7))))</f>
        <v>0.82988855491771996</v>
      </c>
    </row>
    <row r="96" spans="1:3" x14ac:dyDescent="0.3">
      <c r="A96">
        <f>6.703609*(29979200000/1000000000)</f>
        <v>200.96883493280001</v>
      </c>
      <c r="B96">
        <v>2.9E-4</v>
      </c>
      <c r="C96">
        <f>MAX(0,(-B96+1/EXP((Data!$L$58*2.54)*(Data!$V$60+Data!$V$61*($A96/1000)+Data!$V$62*($A96/1000)^2+Data!$V$63*($A96/1000)^3+Data!$V$64*($A96/1000)^4+Data!$V$65*($A96/1000)^5+Data!$V$66*($A96/1000)^6+Data!$V$67*($A96/1000)^7))))</f>
        <v>0.82836909837026707</v>
      </c>
    </row>
    <row r="97" spans="1:3" x14ac:dyDescent="0.3">
      <c r="A97">
        <f>6.754012*(29979200000/1000000000)</f>
        <v>202.47987655039998</v>
      </c>
      <c r="B97">
        <v>0</v>
      </c>
      <c r="C97">
        <f>MAX(0,(-B97+1/EXP((Data!$L$58*2.54)*(Data!$V$60+Data!$V$61*($A97/1000)+Data!$V$62*($A97/1000)^2+Data!$V$63*($A97/1000)^3+Data!$V$64*($A97/1000)^4+Data!$V$65*($A97/1000)^5+Data!$V$66*($A97/1000)^6+Data!$V$67*($A97/1000)^7))))</f>
        <v>0.82709643076826045</v>
      </c>
    </row>
    <row r="98" spans="1:3" x14ac:dyDescent="0.3">
      <c r="A98">
        <f>6.804415*(29979200000/1000000000)</f>
        <v>203.99091816800001</v>
      </c>
      <c r="B98">
        <v>0</v>
      </c>
      <c r="C98">
        <f>MAX(0,(-B98+1/EXP((Data!$L$58*2.54)*(Data!$V$60+Data!$V$61*($A98/1000)+Data!$V$62*($A98/1000)^2+Data!$V$63*($A98/1000)^3+Data!$V$64*($A98/1000)^4+Data!$V$65*($A98/1000)^5+Data!$V$66*($A98/1000)^6+Data!$V$67*($A98/1000)^7))))</f>
        <v>0.82554052370896835</v>
      </c>
    </row>
    <row r="99" spans="1:3" x14ac:dyDescent="0.3">
      <c r="A99">
        <f>6.854818*(29979200000/1000000000)</f>
        <v>205.50195978559998</v>
      </c>
      <c r="B99">
        <v>0</v>
      </c>
      <c r="C99">
        <f>MAX(0,(-B99+1/EXP((Data!$L$58*2.54)*(Data!$V$60+Data!$V$61*($A99/1000)+Data!$V$62*($A99/1000)^2+Data!$V$63*($A99/1000)^3+Data!$V$64*($A99/1000)^4+Data!$V$65*($A99/1000)^5+Data!$V$66*($A99/1000)^6+Data!$V$67*($A99/1000)^7))))</f>
        <v>0.82399134892260528</v>
      </c>
    </row>
    <row r="100" spans="1:3" x14ac:dyDescent="0.3">
      <c r="A100">
        <f>6.905221*(29979200000/1000000000)</f>
        <v>207.01300140320001</v>
      </c>
      <c r="B100">
        <v>0</v>
      </c>
      <c r="C100">
        <f>MAX(0,(-B100+1/EXP((Data!$L$58*2.54)*(Data!$V$60+Data!$V$61*($A100/1000)+Data!$V$62*($A100/1000)^2+Data!$V$63*($A100/1000)^3+Data!$V$64*($A100/1000)^4+Data!$V$65*($A100/1000)^5+Data!$V$66*($A100/1000)^6+Data!$V$67*($A100/1000)^7))))</f>
        <v>0.82244887827157642</v>
      </c>
    </row>
    <row r="101" spans="1:3" x14ac:dyDescent="0.3">
      <c r="A101">
        <f>6.955624*(29979200000/1000000000)</f>
        <v>208.52404302080001</v>
      </c>
      <c r="B101">
        <v>0</v>
      </c>
      <c r="C101">
        <f>MAX(0,(-B101+1/EXP((Data!$L$58*2.54)*(Data!$V$60+Data!$V$61*($A101/1000)+Data!$V$62*($A101/1000)^2+Data!$V$63*($A101/1000)^3+Data!$V$64*($A101/1000)^4+Data!$V$65*($A101/1000)^5+Data!$V$66*($A101/1000)^6+Data!$V$67*($A101/1000)^7))))</f>
        <v>0.82091308374972982</v>
      </c>
    </row>
    <row r="102" spans="1:3" x14ac:dyDescent="0.3">
      <c r="A102">
        <f>7.006027*(29979200000/1000000000)</f>
        <v>210.03508463839998</v>
      </c>
      <c r="B102">
        <v>2.0000000000000001E-4</v>
      </c>
      <c r="C102">
        <f>MAX(0,(-B102+1/EXP((Data!$L$58*2.54)*(Data!$V$60+Data!$V$61*($A102/1000)+Data!$V$62*($A102/1000)^2+Data!$V$63*($A102/1000)^3+Data!$V$64*($A102/1000)^4+Data!$V$65*($A102/1000)^5+Data!$V$66*($A102/1000)^6+Data!$V$67*($A102/1000)^7))))</f>
        <v>0.81918393748160956</v>
      </c>
    </row>
    <row r="103" spans="1:3" x14ac:dyDescent="0.3">
      <c r="A103">
        <f>7.05643*(29979200000/1000000000)</f>
        <v>211.54612625600001</v>
      </c>
      <c r="B103">
        <v>4.4000000000000002E-4</v>
      </c>
      <c r="C103">
        <f>MAX(0,(-B103+1/EXP((Data!$L$58*2.54)*(Data!$V$60+Data!$V$61*($A103/1000)+Data!$V$62*($A103/1000)^2+Data!$V$63*($A103/1000)^3+Data!$V$64*($A103/1000)^4+Data!$V$65*($A103/1000)^5+Data!$V$66*($A103/1000)^6+Data!$V$67*($A103/1000)^7))))</f>
        <v>0.81742141172171756</v>
      </c>
    </row>
    <row r="104" spans="1:3" x14ac:dyDescent="0.3">
      <c r="A104">
        <f>7.106833*(29979200000/1000000000)</f>
        <v>213.05716787359998</v>
      </c>
      <c r="B104">
        <v>9.8999999999999999E-4</v>
      </c>
      <c r="C104">
        <f>MAX(0,(-B104+1/EXP((Data!$L$58*2.54)*(Data!$V$60+Data!$V$61*($A104/1000)+Data!$V$62*($A104/1000)^2+Data!$V$63*($A104/1000)^3+Data!$V$64*($A104/1000)^4+Data!$V$65*($A104/1000)^5+Data!$V$66*($A104/1000)^6+Data!$V$67*($A104/1000)^7))))</f>
        <v>0.81535547885377746</v>
      </c>
    </row>
    <row r="105" spans="1:3" x14ac:dyDescent="0.3">
      <c r="A105">
        <f>7.157236*(29979200000/1000000000)</f>
        <v>214.56820949120001</v>
      </c>
      <c r="B105">
        <v>5.5999999999999995E-4</v>
      </c>
      <c r="C105">
        <f>MAX(0,(-B105+1/EXP((Data!$L$58*2.54)*(Data!$V$60+Data!$V$61*($A105/1000)+Data!$V$62*($A105/1000)^2+Data!$V$63*($A105/1000)^3+Data!$V$64*($A105/1000)^4+Data!$V$65*($A105/1000)^5+Data!$V$66*($A105/1000)^6+Data!$V$67*($A105/1000)^7))))</f>
        <v>0.814276111390004</v>
      </c>
    </row>
    <row r="106" spans="1:3" x14ac:dyDescent="0.3">
      <c r="A106">
        <f>7.207639*(29979200000/1000000000)</f>
        <v>216.07925110880001</v>
      </c>
      <c r="B106">
        <v>3.3E-4</v>
      </c>
      <c r="C106">
        <f>MAX(0,(-B106+1/EXP((Data!$L$58*2.54)*(Data!$V$60+Data!$V$61*($A106/1000)+Data!$V$62*($A106/1000)^2+Data!$V$63*($A106/1000)^3+Data!$V$64*($A106/1000)^4+Data!$V$65*($A106/1000)^5+Data!$V$66*($A106/1000)^6+Data!$V$67*($A106/1000)^7))))</f>
        <v>0.81300328197037697</v>
      </c>
    </row>
    <row r="107" spans="1:3" x14ac:dyDescent="0.3">
      <c r="A107">
        <f>7.258042*(29979200000/1000000000)</f>
        <v>217.59029272639998</v>
      </c>
      <c r="B107">
        <v>3.6000000000000002E-4</v>
      </c>
      <c r="C107">
        <f>MAX(0,(-B107+1/EXP((Data!$L$58*2.54)*(Data!$V$60+Data!$V$61*($A107/1000)+Data!$V$62*($A107/1000)^2+Data!$V$63*($A107/1000)^3+Data!$V$64*($A107/1000)^4+Data!$V$65*($A107/1000)^5+Data!$V$66*($A107/1000)^6+Data!$V$67*($A107/1000)^7))))</f>
        <v>0.81147696336192043</v>
      </c>
    </row>
    <row r="108" spans="1:3" x14ac:dyDescent="0.3">
      <c r="A108">
        <f>7.308445*(29979200000/1000000000)</f>
        <v>219.10133434400001</v>
      </c>
      <c r="B108">
        <v>1.6000000000000001E-4</v>
      </c>
      <c r="C108">
        <f>MAX(0,(-B108+1/EXP((Data!$L$58*2.54)*(Data!$V$60+Data!$V$61*($A108/1000)+Data!$V$62*($A108/1000)^2+Data!$V$63*($A108/1000)^3+Data!$V$64*($A108/1000)^4+Data!$V$65*($A108/1000)^5+Data!$V$66*($A108/1000)^6+Data!$V$67*($A108/1000)^7))))</f>
        <v>0.81018712845798491</v>
      </c>
    </row>
    <row r="109" spans="1:3" x14ac:dyDescent="0.3">
      <c r="A109">
        <f>7.358848*(29979200000/1000000000)</f>
        <v>220.61237596159998</v>
      </c>
      <c r="B109">
        <v>3.1E-4</v>
      </c>
      <c r="C109">
        <f>MAX(0,(-B109+1/EXP((Data!$L$58*2.54)*(Data!$V$60+Data!$V$61*($A109/1000)+Data!$V$62*($A109/1000)^2+Data!$V$63*($A109/1000)^3+Data!$V$64*($A109/1000)^4+Data!$V$65*($A109/1000)^5+Data!$V$66*($A109/1000)^6+Data!$V$67*($A109/1000)^7))))</f>
        <v>0.80855375027753651</v>
      </c>
    </row>
    <row r="110" spans="1:3" x14ac:dyDescent="0.3">
      <c r="A110">
        <f>7.409251*(29979200000/1000000000)</f>
        <v>222.12341757920004</v>
      </c>
      <c r="B110">
        <v>1.4999999999999999E-4</v>
      </c>
      <c r="C110">
        <f>MAX(0,(-B110+1/EXP((Data!$L$58*2.54)*(Data!$V$60+Data!$V$61*($A110/1000)+Data!$V$62*($A110/1000)^2+Data!$V$63*($A110/1000)^3+Data!$V$64*($A110/1000)^4+Data!$V$65*($A110/1000)^5+Data!$V$66*($A110/1000)^6+Data!$V$67*($A110/1000)^7))))</f>
        <v>0.80723680196444703</v>
      </c>
    </row>
    <row r="111" spans="1:3" x14ac:dyDescent="0.3">
      <c r="A111">
        <f>7.459654*(29979200000/1000000000)</f>
        <v>223.63445919680001</v>
      </c>
      <c r="B111">
        <v>0</v>
      </c>
      <c r="C111">
        <f>MAX(0,(-B111+1/EXP((Data!$L$58*2.54)*(Data!$V$60+Data!$V$61*($A111/1000)+Data!$V$62*($A111/1000)^2+Data!$V$63*($A111/1000)^3+Data!$V$64*($A111/1000)^4+Data!$V$65*($A111/1000)^5+Data!$V$66*($A111/1000)^6+Data!$V$67*($A111/1000)^7))))</f>
        <v>0.8059162567867928</v>
      </c>
    </row>
    <row r="112" spans="1:3" x14ac:dyDescent="0.3">
      <c r="A112">
        <f>7.510057*(29979200000/1000000000)</f>
        <v>225.14550081439998</v>
      </c>
      <c r="B112">
        <v>1.6000000000000001E-4</v>
      </c>
      <c r="C112">
        <f>MAX(0,(-B112+1/EXP((Data!$L$58*2.54)*(Data!$V$60+Data!$V$61*($A112/1000)+Data!$V$62*($A112/1000)^2+Data!$V$63*($A112/1000)^3+Data!$V$64*($A112/1000)^4+Data!$V$65*($A112/1000)^5+Data!$V$66*($A112/1000)^6+Data!$V$67*($A112/1000)^7))))</f>
        <v>0.8042920881361536</v>
      </c>
    </row>
    <row r="113" spans="1:3" x14ac:dyDescent="0.3">
      <c r="A113">
        <f>7.56046*(29979200000/1000000000)</f>
        <v>226.65654243200001</v>
      </c>
      <c r="B113">
        <v>3.0000000000000001E-5</v>
      </c>
      <c r="C113">
        <f>MAX(0,(-B113+1/EXP((Data!$L$58*2.54)*(Data!$V$60+Data!$V$61*($A113/1000)+Data!$V$62*($A113/1000)^2+Data!$V$63*($A113/1000)^3+Data!$V$64*($A113/1000)^4+Data!$V$65*($A113/1000)^5+Data!$V$66*($A113/1000)^6+Data!$V$67*($A113/1000)^7))))</f>
        <v>0.80296426952692035</v>
      </c>
    </row>
    <row r="114" spans="1:3" x14ac:dyDescent="0.3">
      <c r="A114">
        <f>7.610863*(29979200000/1000000000)</f>
        <v>228.16758404960001</v>
      </c>
      <c r="B114">
        <v>0</v>
      </c>
      <c r="C114">
        <f>MAX(0,(-B114+1/EXP((Data!$L$58*2.54)*(Data!$V$60+Data!$V$61*($A114/1000)+Data!$V$62*($A114/1000)^2+Data!$V$63*($A114/1000)^3+Data!$V$64*($A114/1000)^4+Data!$V$65*($A114/1000)^5+Data!$V$66*($A114/1000)^6+Data!$V$67*($A114/1000)^7))))</f>
        <v>0.80154277459560241</v>
      </c>
    </row>
    <row r="115" spans="1:3" x14ac:dyDescent="0.3">
      <c r="A115">
        <f>7.661266*(29979200000/1000000000)</f>
        <v>229.67862566720004</v>
      </c>
      <c r="B115">
        <v>1.2E-4</v>
      </c>
      <c r="C115">
        <f>MAX(0,(-B115+1/EXP((Data!$L$58*2.54)*(Data!$V$60+Data!$V$61*($A115/1000)+Data!$V$62*($A115/1000)^2+Data!$V$63*($A115/1000)^3+Data!$V$64*($A115/1000)^4+Data!$V$65*($A115/1000)^5+Data!$V$66*($A115/1000)^6+Data!$V$67*($A115/1000)^7))))</f>
        <v>0.79997757710014339</v>
      </c>
    </row>
    <row r="116" spans="1:3" x14ac:dyDescent="0.3">
      <c r="A116">
        <f>7.711669*(29979200000/1000000000)</f>
        <v>231.18966728480001</v>
      </c>
      <c r="B116">
        <v>0</v>
      </c>
      <c r="C116">
        <f>MAX(0,(-B116+1/EXP((Data!$L$58*2.54)*(Data!$V$60+Data!$V$61*($A116/1000)+Data!$V$62*($A116/1000)^2+Data!$V$63*($A116/1000)^3+Data!$V$64*($A116/1000)^4+Data!$V$65*($A116/1000)^5+Data!$V$66*($A116/1000)^6+Data!$V$67*($A116/1000)^7))))</f>
        <v>0.79865865091923882</v>
      </c>
    </row>
    <row r="117" spans="1:3" x14ac:dyDescent="0.3">
      <c r="A117">
        <f>7.762072*(29979200000/1000000000)</f>
        <v>232.70070890239998</v>
      </c>
      <c r="B117">
        <v>0</v>
      </c>
      <c r="C117">
        <f>MAX(0,(-B117+1/EXP((Data!$L$58*2.54)*(Data!$V$60+Data!$V$61*($A117/1000)+Data!$V$62*($A117/1000)^2+Data!$V$63*($A117/1000)^3+Data!$V$64*($A117/1000)^4+Data!$V$65*($A117/1000)^5+Data!$V$66*($A117/1000)^6+Data!$V$67*($A117/1000)^7))))</f>
        <v>0.79722597005165863</v>
      </c>
    </row>
    <row r="118" spans="1:3" x14ac:dyDescent="0.3">
      <c r="A118">
        <f>7.812475*(29979200000/1000000000)</f>
        <v>234.21175052000001</v>
      </c>
      <c r="B118">
        <v>8.0000000000000007E-5</v>
      </c>
      <c r="C118">
        <f>MAX(0,(-B118+1/EXP((Data!$L$58*2.54)*(Data!$V$60+Data!$V$61*($A118/1000)+Data!$V$62*($A118/1000)^2+Data!$V$63*($A118/1000)^3+Data!$V$64*($A118/1000)^4+Data!$V$65*($A118/1000)^5+Data!$V$66*($A118/1000)^6+Data!$V$67*($A118/1000)^7))))</f>
        <v>0.79571950861557406</v>
      </c>
    </row>
    <row r="119" spans="1:3" x14ac:dyDescent="0.3">
      <c r="A119">
        <f>7.862878*(29979200000/1000000000)</f>
        <v>235.72279213760001</v>
      </c>
      <c r="B119">
        <v>0</v>
      </c>
      <c r="C119">
        <f>MAX(0,(-B119+1/EXP((Data!$L$58*2.54)*(Data!$V$60+Data!$V$61*($A119/1000)+Data!$V$62*($A119/1000)^2+Data!$V$63*($A119/1000)^3+Data!$V$64*($A119/1000)^4+Data!$V$65*($A119/1000)^5+Data!$V$66*($A119/1000)^6+Data!$V$67*($A119/1000)^7))))</f>
        <v>0.79437924084788802</v>
      </c>
    </row>
    <row r="120" spans="1:3" x14ac:dyDescent="0.3">
      <c r="A120">
        <f>7.913281*(29979200000/1000000000)</f>
        <v>237.23383375519998</v>
      </c>
      <c r="B120">
        <v>0</v>
      </c>
      <c r="C120">
        <f>MAX(0,(-B120+1/EXP((Data!$L$58*2.54)*(Data!$V$60+Data!$V$61*($A120/1000)+Data!$V$62*($A120/1000)^2+Data!$V$63*($A120/1000)^3+Data!$V$64*($A120/1000)^4+Data!$V$65*($A120/1000)^5+Data!$V$66*($A120/1000)^6+Data!$V$67*($A120/1000)^7))))</f>
        <v>0.79296514110357141</v>
      </c>
    </row>
    <row r="121" spans="1:3" x14ac:dyDescent="0.3">
      <c r="A121">
        <f>7.963684*(29979200000/1000000000)</f>
        <v>238.74487537280001</v>
      </c>
      <c r="B121">
        <v>3.0000000000000001E-5</v>
      </c>
      <c r="C121">
        <f>MAX(0,(-B121+1/EXP((Data!$L$58*2.54)*(Data!$V$60+Data!$V$61*($A121/1000)+Data!$V$62*($A121/1000)^2+Data!$V$63*($A121/1000)^3+Data!$V$64*($A121/1000)^4+Data!$V$65*($A121/1000)^5+Data!$V$66*($A121/1000)^6+Data!$V$67*($A121/1000)^7))))</f>
        <v>0.79152718385500043</v>
      </c>
    </row>
    <row r="122" spans="1:3" x14ac:dyDescent="0.3">
      <c r="A122">
        <f>8.014087*(29979200000/1000000000)</f>
        <v>240.25591699039998</v>
      </c>
      <c r="B122">
        <v>7.2000000000000005E-4</v>
      </c>
      <c r="C122">
        <f>MAX(0,(-B122+1/EXP((Data!$L$58*2.54)*(Data!$V$60+Data!$V$61*($A122/1000)+Data!$V$62*($A122/1000)^2+Data!$V$63*($A122/1000)^3+Data!$V$64*($A122/1000)^4+Data!$V$65*($A122/1000)^5+Data!$V$66*($A122/1000)^6+Data!$V$67*($A122/1000)^7))))</f>
        <v>0.78943534369130131</v>
      </c>
    </row>
    <row r="123" spans="1:3" x14ac:dyDescent="0.3">
      <c r="A123">
        <f>8.06449*(29979200000/1000000000)</f>
        <v>241.76695860800001</v>
      </c>
      <c r="B123">
        <v>7.5000000000000002E-4</v>
      </c>
      <c r="C123">
        <f>MAX(0,(-B123+1/EXP((Data!$L$58*2.54)*(Data!$V$60+Data!$V$61*($A123/1000)+Data!$V$62*($A123/1000)^2+Data!$V$63*($A123/1000)^3+Data!$V$64*($A123/1000)^4+Data!$V$65*($A123/1000)^5+Data!$V$66*($A123/1000)^6+Data!$V$67*($A123/1000)^7))))</f>
        <v>0.78800959531769721</v>
      </c>
    </row>
    <row r="124" spans="1:3" x14ac:dyDescent="0.3">
      <c r="A124">
        <f>8.114893*(29979200000/1000000000)</f>
        <v>243.27800022560001</v>
      </c>
      <c r="B124">
        <v>0</v>
      </c>
      <c r="C124">
        <f>MAX(0,(-B124+1/EXP((Data!$L$58*2.54)*(Data!$V$60+Data!$V$61*($A124/1000)+Data!$V$62*($A124/1000)^2+Data!$V$63*($A124/1000)^3+Data!$V$64*($A124/1000)^4+Data!$V$65*($A124/1000)^5+Data!$V$66*($A124/1000)^6+Data!$V$67*($A124/1000)^7))))</f>
        <v>0.7873699135548583</v>
      </c>
    </row>
    <row r="125" spans="1:3" x14ac:dyDescent="0.3">
      <c r="A125">
        <f>8.165296*(29979200000/1000000000)</f>
        <v>244.78904184319998</v>
      </c>
      <c r="B125">
        <v>0</v>
      </c>
      <c r="C125">
        <f>MAX(0,(-B125+1/EXP((Data!$L$58*2.54)*(Data!$V$60+Data!$V$61*($A125/1000)+Data!$V$62*($A125/1000)^2+Data!$V$63*($A125/1000)^3+Data!$V$64*($A125/1000)^4+Data!$V$65*($A125/1000)^5+Data!$V$66*($A125/1000)^6+Data!$V$67*($A125/1000)^7))))</f>
        <v>0.78598627333825877</v>
      </c>
    </row>
    <row r="126" spans="1:3" x14ac:dyDescent="0.3">
      <c r="A126">
        <f>8.215699*(29979200000/1000000000)</f>
        <v>246.30008346080001</v>
      </c>
      <c r="B126">
        <v>0</v>
      </c>
      <c r="C126">
        <f>MAX(0,(-B126+1/EXP((Data!$L$58*2.54)*(Data!$V$60+Data!$V$61*($A126/1000)+Data!$V$62*($A126/1000)^2+Data!$V$63*($A126/1000)^3+Data!$V$64*($A126/1000)^4+Data!$V$65*($A126/1000)^5+Data!$V$66*($A126/1000)^6+Data!$V$67*($A126/1000)^7))))</f>
        <v>0.78460864971753408</v>
      </c>
    </row>
    <row r="127" spans="1:3" x14ac:dyDescent="0.3">
      <c r="A127">
        <f>8.266102*(29979200000/1000000000)</f>
        <v>247.81112507839998</v>
      </c>
      <c r="B127">
        <v>0</v>
      </c>
      <c r="C127">
        <f>MAX(0,(-B127+1/EXP((Data!$L$58*2.54)*(Data!$V$60+Data!$V$61*($A127/1000)+Data!$V$62*($A127/1000)^2+Data!$V$63*($A127/1000)^3+Data!$V$64*($A127/1000)^4+Data!$V$65*($A127/1000)^5+Data!$V$66*($A127/1000)^6+Data!$V$67*($A127/1000)^7))))</f>
        <v>0.78323701785584576</v>
      </c>
    </row>
    <row r="128" spans="1:3" x14ac:dyDescent="0.3">
      <c r="A128">
        <f>8.316505*(29979200000/1000000000)</f>
        <v>249.32216669600001</v>
      </c>
      <c r="B128">
        <v>0</v>
      </c>
      <c r="C128">
        <f>MAX(0,(-B128+1/EXP((Data!$L$58*2.54)*(Data!$V$60+Data!$V$61*($A128/1000)+Data!$V$62*($A128/1000)^2+Data!$V$63*($A128/1000)^3+Data!$V$64*($A128/1000)^4+Data!$V$65*($A128/1000)^5+Data!$V$66*($A128/1000)^6+Data!$V$67*($A128/1000)^7))))</f>
        <v>0.78187135302924704</v>
      </c>
    </row>
    <row r="129" spans="1:3" x14ac:dyDescent="0.3">
      <c r="A129">
        <f>8.366908*(29979200000/1000000000)</f>
        <v>250.83320831360001</v>
      </c>
      <c r="B129">
        <v>0</v>
      </c>
      <c r="C129">
        <f>MAX(0,(-B129+1/EXP((Data!$L$58*2.54)*(Data!$V$60+Data!$V$61*($A129/1000)+Data!$V$62*($A129/1000)^2+Data!$V$63*($A129/1000)^3+Data!$V$64*($A129/1000)^4+Data!$V$65*($A129/1000)^5+Data!$V$66*($A129/1000)^6+Data!$V$67*($A129/1000)^7))))</f>
        <v>0.78051163062605422</v>
      </c>
    </row>
    <row r="130" spans="1:3" x14ac:dyDescent="0.3">
      <c r="A130">
        <f>8.417311*(29979200000/1000000000)</f>
        <v>252.34424993119998</v>
      </c>
      <c r="B130">
        <v>0</v>
      </c>
      <c r="C130">
        <f>MAX(0,(-B130+1/EXP((Data!$L$58*2.54)*(Data!$V$60+Data!$V$61*($A130/1000)+Data!$V$62*($A130/1000)^2+Data!$V$63*($A130/1000)^3+Data!$V$64*($A130/1000)^4+Data!$V$65*($A130/1000)^5+Data!$V$66*($A130/1000)^6+Data!$V$67*($A130/1000)^7))))</f>
        <v>0.77915782614622087</v>
      </c>
    </row>
    <row r="131" spans="1:3" x14ac:dyDescent="0.3">
      <c r="A131">
        <f>8.467714*(29979200000/1000000000)</f>
        <v>253.85529154880001</v>
      </c>
      <c r="B131">
        <v>2.9E-4</v>
      </c>
      <c r="C131">
        <f>MAX(0,(-B131+1/EXP((Data!$L$58*2.54)*(Data!$V$60+Data!$V$61*($A131/1000)+Data!$V$62*($A131/1000)^2+Data!$V$63*($A131/1000)^3+Data!$V$64*($A131/1000)^4+Data!$V$65*($A131/1000)^5+Data!$V$66*($A131/1000)^6+Data!$V$67*($A131/1000)^7))))</f>
        <v>0.77751991520071673</v>
      </c>
    </row>
    <row r="132" spans="1:3" x14ac:dyDescent="0.3">
      <c r="A132">
        <f>8.518117*(29979200000/1000000000)</f>
        <v>255.36633316639998</v>
      </c>
      <c r="B132">
        <v>1.1E-4</v>
      </c>
      <c r="C132">
        <f>MAX(0,(-B132+1/EXP((Data!$L$58*2.54)*(Data!$V$60+Data!$V$61*($A132/1000)+Data!$V$62*($A132/1000)^2+Data!$V$63*($A132/1000)^3+Data!$V$64*($A132/1000)^4+Data!$V$65*($A132/1000)^5+Data!$V$66*($A132/1000)^6+Data!$V$67*($A132/1000)^7))))</f>
        <v>0.77635787351090879</v>
      </c>
    </row>
    <row r="133" spans="1:3" x14ac:dyDescent="0.3">
      <c r="A133">
        <f>8.56852*(29979200000/1000000000)</f>
        <v>256.87737478400004</v>
      </c>
      <c r="B133">
        <v>0</v>
      </c>
      <c r="C133">
        <f>MAX(0,(-B133+1/EXP((Data!$L$58*2.54)*(Data!$V$60+Data!$V$61*($A133/1000)+Data!$V$62*($A133/1000)^2+Data!$V$63*($A133/1000)^3+Data!$V$64*($A133/1000)^4+Data!$V$65*($A133/1000)^5+Data!$V$66*($A133/1000)^6+Data!$V$67*($A133/1000)^7))))</f>
        <v>0.77513167690794849</v>
      </c>
    </row>
    <row r="134" spans="1:3" x14ac:dyDescent="0.3">
      <c r="A134">
        <f>8.618923*(29979200000/1000000000)</f>
        <v>258.38841640160001</v>
      </c>
      <c r="B134">
        <v>0</v>
      </c>
      <c r="C134">
        <f>MAX(0,(-B134+1/EXP((Data!$L$58*2.54)*(Data!$V$60+Data!$V$61*($A134/1000)+Data!$V$62*($A134/1000)^2+Data!$V$63*($A134/1000)^3+Data!$V$64*($A134/1000)^4+Data!$V$65*($A134/1000)^5+Data!$V$66*($A134/1000)^6+Data!$V$67*($A134/1000)^7))))</f>
        <v>0.77380130133216007</v>
      </c>
    </row>
    <row r="135" spans="1:3" x14ac:dyDescent="0.3">
      <c r="A135">
        <f>8.669326*(29979200000/1000000000)</f>
        <v>259.89945801919998</v>
      </c>
      <c r="B135">
        <v>0</v>
      </c>
      <c r="C135">
        <f>MAX(0,(-B135+1/EXP((Data!$L$58*2.54)*(Data!$V$60+Data!$V$61*($A135/1000)+Data!$V$62*($A135/1000)^2+Data!$V$63*($A135/1000)^3+Data!$V$64*($A135/1000)^4+Data!$V$65*($A135/1000)^5+Data!$V$66*($A135/1000)^6+Data!$V$67*($A135/1000)^7))))</f>
        <v>0.77247672283243429</v>
      </c>
    </row>
    <row r="136" spans="1:3" x14ac:dyDescent="0.3">
      <c r="A136">
        <f>8.719729*(29979200000/1000000000)</f>
        <v>261.41049963680001</v>
      </c>
      <c r="B136">
        <v>2.5000000000000001E-4</v>
      </c>
      <c r="C136">
        <f>MAX(0,(-B136+1/EXP((Data!$L$58*2.54)*(Data!$V$60+Data!$V$61*($A136/1000)+Data!$V$62*($A136/1000)^2+Data!$V$63*($A136/1000)^3+Data!$V$64*($A136/1000)^4+Data!$V$65*($A136/1000)^5+Data!$V$66*($A136/1000)^6+Data!$V$67*($A136/1000)^7))))</f>
        <v>0.77090791756562538</v>
      </c>
    </row>
    <row r="137" spans="1:3" x14ac:dyDescent="0.3">
      <c r="A137">
        <f>8.770132*(29979200000/1000000000)</f>
        <v>262.92154125439998</v>
      </c>
      <c r="B137">
        <v>1.9000000000000001E-4</v>
      </c>
      <c r="C137">
        <f>MAX(0,(-B137+1/EXP((Data!$L$58*2.54)*(Data!$V$60+Data!$V$61*($A137/1000)+Data!$V$62*($A137/1000)^2+Data!$V$63*($A137/1000)^3+Data!$V$64*($A137/1000)^4+Data!$V$65*($A137/1000)^5+Data!$V$66*($A137/1000)^6+Data!$V$67*($A137/1000)^7))))</f>
        <v>0.769654861795951</v>
      </c>
    </row>
    <row r="138" spans="1:3" x14ac:dyDescent="0.3">
      <c r="A138">
        <f>8.820535*(29979200000/1000000000)</f>
        <v>264.43258287199995</v>
      </c>
      <c r="B138">
        <v>0</v>
      </c>
      <c r="C138">
        <f>MAX(0,(-B138+1/EXP((Data!$L$58*2.54)*(Data!$V$60+Data!$V$61*($A138/1000)+Data!$V$62*($A138/1000)^2+Data!$V$63*($A138/1000)^3+Data!$V$64*($A138/1000)^4+Data!$V$65*($A138/1000)^5+Data!$V$66*($A138/1000)^6+Data!$V$67*($A138/1000)^7))))</f>
        <v>0.76853753189439666</v>
      </c>
    </row>
    <row r="139" spans="1:3" x14ac:dyDescent="0.3">
      <c r="A139">
        <f>8.870938*(29979200000/1000000000)</f>
        <v>265.94362448959998</v>
      </c>
      <c r="B139">
        <v>0</v>
      </c>
      <c r="C139">
        <f>MAX(0,(-B139+1/EXP((Data!$L$58*2.54)*(Data!$V$60+Data!$V$61*($A139/1000)+Data!$V$62*($A139/1000)^2+Data!$V$63*($A139/1000)^3+Data!$V$64*($A139/1000)^4+Data!$V$65*($A139/1000)^5+Data!$V$66*($A139/1000)^6+Data!$V$67*($A139/1000)^7))))</f>
        <v>0.76723590433812305</v>
      </c>
    </row>
    <row r="140" spans="1:3" x14ac:dyDescent="0.3">
      <c r="A140">
        <f>8.921341*(29979200000/1000000000)</f>
        <v>267.45466610720001</v>
      </c>
      <c r="B140">
        <v>0</v>
      </c>
      <c r="C140">
        <f>MAX(0,(-B140+1/EXP((Data!$L$58*2.54)*(Data!$V$60+Data!$V$61*($A140/1000)+Data!$V$62*($A140/1000)^2+Data!$V$63*($A140/1000)^3+Data!$V$64*($A140/1000)^4+Data!$V$65*($A140/1000)^5+Data!$V$66*($A140/1000)^6+Data!$V$67*($A140/1000)^7))))</f>
        <v>0.76593995570987727</v>
      </c>
    </row>
    <row r="141" spans="1:3" x14ac:dyDescent="0.3">
      <c r="A141">
        <f>8.971744*(29979200000/1000000000)</f>
        <v>268.96570772480004</v>
      </c>
      <c r="B141">
        <v>0</v>
      </c>
      <c r="C141">
        <f>MAX(0,(-B141+1/EXP((Data!$L$58*2.54)*(Data!$V$60+Data!$V$61*($A141/1000)+Data!$V$62*($A141/1000)^2+Data!$V$63*($A141/1000)^3+Data!$V$64*($A141/1000)^4+Data!$V$65*($A141/1000)^5+Data!$V$66*($A141/1000)^6+Data!$V$67*($A141/1000)^7))))</f>
        <v>0.76464966269740753</v>
      </c>
    </row>
    <row r="142" spans="1:3" x14ac:dyDescent="0.3">
      <c r="A142">
        <f>9.022147*(29979200000/1000000000)</f>
        <v>270.47674934240001</v>
      </c>
      <c r="B142">
        <v>0</v>
      </c>
      <c r="C142">
        <f>MAX(0,(-B142+1/EXP((Data!$L$58*2.54)*(Data!$V$60+Data!$V$61*($A142/1000)+Data!$V$62*($A142/1000)^2+Data!$V$63*($A142/1000)^3+Data!$V$64*($A142/1000)^4+Data!$V$65*($A142/1000)^5+Data!$V$66*($A142/1000)^6+Data!$V$67*($A142/1000)^7))))</f>
        <v>0.76336500209288094</v>
      </c>
    </row>
    <row r="143" spans="1:3" x14ac:dyDescent="0.3">
      <c r="A143">
        <f>9.07255*(29979200000/1000000000)</f>
        <v>271.98779095999998</v>
      </c>
      <c r="B143">
        <v>0</v>
      </c>
      <c r="C143">
        <f>MAX(0,(-B143+1/EXP((Data!$L$58*2.54)*(Data!$V$60+Data!$V$61*($A143/1000)+Data!$V$62*($A143/1000)^2+Data!$V$63*($A143/1000)^3+Data!$V$64*($A143/1000)^4+Data!$V$65*($A143/1000)^5+Data!$V$66*($A143/1000)^6+Data!$V$67*($A143/1000)^7))))</f>
        <v>0.76208595079230512</v>
      </c>
    </row>
    <row r="144" spans="1:3" x14ac:dyDescent="0.3">
      <c r="A144">
        <f>9.122953*(29979200000/1000000000)</f>
        <v>273.49883257760001</v>
      </c>
      <c r="B144">
        <v>0</v>
      </c>
      <c r="C144">
        <f>MAX(0,(-B144+1/EXP((Data!$L$58*2.54)*(Data!$V$60+Data!$V$61*($A144/1000)+Data!$V$62*($A144/1000)^2+Data!$V$63*($A144/1000)^3+Data!$V$64*($A144/1000)^4+Data!$V$65*($A144/1000)^5+Data!$V$66*($A144/1000)^6+Data!$V$67*($A144/1000)^7))))</f>
        <v>0.76081248579495364</v>
      </c>
    </row>
    <row r="145" spans="1:3" x14ac:dyDescent="0.3">
      <c r="A145">
        <f>9.173356*(29979200000/1000000000)</f>
        <v>275.00987419519998</v>
      </c>
      <c r="B145">
        <v>0</v>
      </c>
      <c r="C145">
        <f>MAX(0,(-B145+1/EXP((Data!$L$58*2.54)*(Data!$V$60+Data!$V$61*($A145/1000)+Data!$V$62*($A145/1000)^2+Data!$V$63*($A145/1000)^3+Data!$V$64*($A145/1000)^4+Data!$V$65*($A145/1000)^5+Data!$V$66*($A145/1000)^6+Data!$V$67*($A145/1000)^7))))</f>
        <v>0.75954458420279292</v>
      </c>
    </row>
    <row r="146" spans="1:3" x14ac:dyDescent="0.3">
      <c r="A146">
        <f>9.223759*(29979200000/1000000000)</f>
        <v>276.52091581280001</v>
      </c>
      <c r="B146">
        <v>0</v>
      </c>
      <c r="C146">
        <f>MAX(0,(-B146+1/EXP((Data!$L$58*2.54)*(Data!$V$60+Data!$V$61*($A146/1000)+Data!$V$62*($A146/1000)^2+Data!$V$63*($A146/1000)^3+Data!$V$64*($A146/1000)^4+Data!$V$65*($A146/1000)^5+Data!$V$66*($A146/1000)^6+Data!$V$67*($A146/1000)^7))))</f>
        <v>0.75828222321991601</v>
      </c>
    </row>
    <row r="147" spans="1:3" x14ac:dyDescent="0.3">
      <c r="A147">
        <f>9.274162*(29979200000/1000000000)</f>
        <v>278.03195743039998</v>
      </c>
      <c r="B147">
        <v>0</v>
      </c>
      <c r="C147">
        <f>MAX(0,(-B147+1/EXP((Data!$L$58*2.54)*(Data!$V$60+Data!$V$61*($A147/1000)+Data!$V$62*($A147/1000)^2+Data!$V$63*($A147/1000)^3+Data!$V$64*($A147/1000)^4+Data!$V$65*($A147/1000)^5+Data!$V$66*($A147/1000)^6+Data!$V$67*($A147/1000)^7))))</f>
        <v>0.75702538015197596</v>
      </c>
    </row>
    <row r="148" spans="1:3" x14ac:dyDescent="0.3">
      <c r="A148">
        <f>9.324565*(29979200000/1000000000)</f>
        <v>279.54299904799996</v>
      </c>
      <c r="B148">
        <v>0</v>
      </c>
      <c r="C148">
        <f>MAX(0,(-B148+1/EXP((Data!$L$58*2.54)*(Data!$V$60+Data!$V$61*($A148/1000)+Data!$V$62*($A148/1000)^2+Data!$V$63*($A148/1000)^3+Data!$V$64*($A148/1000)^4+Data!$V$65*($A148/1000)^5+Data!$V$66*($A148/1000)^6+Data!$V$67*($A148/1000)^7))))</f>
        <v>0.75577403240562457</v>
      </c>
    </row>
    <row r="149" spans="1:3" x14ac:dyDescent="0.3">
      <c r="A149">
        <f>9.374968*(29979200000/1000000000)</f>
        <v>281.05404066560004</v>
      </c>
      <c r="B149">
        <v>0</v>
      </c>
      <c r="C149">
        <f>MAX(0,(-B149+1/EXP((Data!$L$58*2.54)*(Data!$V$60+Data!$V$61*($A149/1000)+Data!$V$62*($A149/1000)^2+Data!$V$63*($A149/1000)^3+Data!$V$64*($A149/1000)^4+Data!$V$65*($A149/1000)^5+Data!$V$66*($A149/1000)^6+Data!$V$67*($A149/1000)^7))))</f>
        <v>0.75452815748795465</v>
      </c>
    </row>
    <row r="150" spans="1:3" x14ac:dyDescent="0.3">
      <c r="A150">
        <f>9.425371*(29979200000/1000000000)</f>
        <v>282.56508228320001</v>
      </c>
      <c r="B150">
        <v>0</v>
      </c>
      <c r="C150">
        <f>MAX(0,(-B150+1/EXP((Data!$L$58*2.54)*(Data!$V$60+Data!$V$61*($A150/1000)+Data!$V$62*($A150/1000)^2+Data!$V$63*($A150/1000)^3+Data!$V$64*($A150/1000)^4+Data!$V$65*($A150/1000)^5+Data!$V$66*($A150/1000)^6+Data!$V$67*($A150/1000)^7))))</f>
        <v>0.75328773300594409</v>
      </c>
    </row>
    <row r="151" spans="1:3" x14ac:dyDescent="0.3">
      <c r="A151">
        <f>9.475774*(29979200000/1000000000)</f>
        <v>284.07612390080004</v>
      </c>
      <c r="B151">
        <v>2.0000000000000001E-4</v>
      </c>
      <c r="C151">
        <f>MAX(0,(-B151+1/EXP((Data!$L$58*2.54)*(Data!$V$60+Data!$V$61*($A151/1000)+Data!$V$62*($A151/1000)^2+Data!$V$63*($A151/1000)^3+Data!$V$64*($A151/1000)^4+Data!$V$65*($A151/1000)^5+Data!$V$66*($A151/1000)^6+Data!$V$67*($A151/1000)^7))))</f>
        <v>0.75185273666590491</v>
      </c>
    </row>
    <row r="152" spans="1:3" x14ac:dyDescent="0.3">
      <c r="A152">
        <f>9.526177*(29979200000/1000000000)</f>
        <v>285.58716551840001</v>
      </c>
      <c r="B152">
        <v>1.31E-3</v>
      </c>
      <c r="C152">
        <f>MAX(0,(-B152+1/EXP((Data!$L$58*2.54)*(Data!$V$60+Data!$V$61*($A152/1000)+Data!$V$62*($A152/1000)^2+Data!$V$63*($A152/1000)^3+Data!$V$64*($A152/1000)^4+Data!$V$65*($A152/1000)^5+Data!$V$66*($A152/1000)^6+Data!$V$67*($A152/1000)^7))))</f>
        <v>0.74951314627293353</v>
      </c>
    </row>
    <row r="153" spans="1:3" x14ac:dyDescent="0.3">
      <c r="A153">
        <f>9.57658*(29979200000/1000000000)</f>
        <v>287.09820713599998</v>
      </c>
      <c r="B153">
        <v>2.4399999999999999E-3</v>
      </c>
      <c r="C153">
        <f>MAX(0,(-B153+1/EXP((Data!$L$58*2.54)*(Data!$V$60+Data!$V$61*($A153/1000)+Data!$V$62*($A153/1000)^2+Data!$V$63*($A153/1000)^3+Data!$V$64*($A153/1000)^4+Data!$V$65*($A153/1000)^5+Data!$V$66*($A153/1000)^6+Data!$V$67*($A153/1000)^7))))</f>
        <v>0.7471589397303664</v>
      </c>
    </row>
    <row r="154" spans="1:3" x14ac:dyDescent="0.3">
      <c r="A154">
        <f>9.626983*(29979200000/1000000000)</f>
        <v>288.60924875360001</v>
      </c>
      <c r="B154">
        <v>3.5400000000000002E-3</v>
      </c>
      <c r="C154">
        <f>MAX(0,(-B154+1/EXP((Data!$L$58*2.54)*(Data!$V$60+Data!$V$61*($A154/1000)+Data!$V$62*($A154/1000)^2+Data!$V$63*($A154/1000)^3+Data!$V$64*($A154/1000)^4+Data!$V$65*($A154/1000)^5+Data!$V$66*($A154/1000)^6+Data!$V$67*($A154/1000)^7))))</f>
        <v>0.74484009503923687</v>
      </c>
    </row>
    <row r="155" spans="1:3" x14ac:dyDescent="0.3">
      <c r="A155">
        <f>9.677386*(29979200000/1000000000)</f>
        <v>290.12029037119999</v>
      </c>
      <c r="B155">
        <v>4.5599999999999998E-3</v>
      </c>
      <c r="C155">
        <f>MAX(0,(-B155+1/EXP((Data!$L$58*2.54)*(Data!$V$60+Data!$V$61*($A155/1000)+Data!$V$62*($A155/1000)^2+Data!$V$63*($A155/1000)^3+Data!$V$64*($A155/1000)^4+Data!$V$65*($A155/1000)^5+Data!$V$66*($A155/1000)^6+Data!$V$67*($A155/1000)^7))))</f>
        <v>0.74260659029773712</v>
      </c>
    </row>
    <row r="156" spans="1:3" x14ac:dyDescent="0.3">
      <c r="A156">
        <f>9.727789*(29979200000/1000000000)</f>
        <v>291.63133198880001</v>
      </c>
      <c r="B156">
        <v>3.6800000000000001E-3</v>
      </c>
      <c r="C156">
        <f>MAX(0,(-B156+1/EXP((Data!$L$58*2.54)*(Data!$V$60+Data!$V$61*($A156/1000)+Data!$V$62*($A156/1000)^2+Data!$V$63*($A156/1000)^3+Data!$V$64*($A156/1000)^4+Data!$V$65*($A156/1000)^5+Data!$V$66*($A156/1000)^6+Data!$V$67*($A156/1000)^7))))</f>
        <v>0.74227840370068088</v>
      </c>
    </row>
    <row r="157" spans="1:3" x14ac:dyDescent="0.3">
      <c r="A157">
        <f>9.778192*(29979200000/1000000000)</f>
        <v>293.14237360639999</v>
      </c>
      <c r="B157">
        <v>2.15E-3</v>
      </c>
      <c r="C157">
        <f>MAX(0,(-B157+1/EXP((Data!$L$58*2.54)*(Data!$V$60+Data!$V$61*($A157/1000)+Data!$V$62*($A157/1000)^2+Data!$V$63*($A157/1000)^3+Data!$V$64*($A157/1000)^4+Data!$V$65*($A157/1000)^5+Data!$V$66*($A157/1000)^6+Data!$V$67*($A157/1000)^7))))</f>
        <v>0.74260551353897175</v>
      </c>
    </row>
    <row r="158" spans="1:3" x14ac:dyDescent="0.3">
      <c r="A158">
        <f>9.828595*(29979200000/1000000000)</f>
        <v>294.65341522400001</v>
      </c>
      <c r="B158">
        <v>1.3600000000000001E-3</v>
      </c>
      <c r="C158">
        <f>MAX(0,(-B158+1/EXP((Data!$L$58*2.54)*(Data!$V$60+Data!$V$61*($A158/1000)+Data!$V$62*($A158/1000)^2+Data!$V$63*($A158/1000)^3+Data!$V$64*($A158/1000)^4+Data!$V$65*($A158/1000)^5+Data!$V$66*($A158/1000)^6+Data!$V$67*($A158/1000)^7))))</f>
        <v>0.74219789819907223</v>
      </c>
    </row>
    <row r="159" spans="1:3" x14ac:dyDescent="0.3">
      <c r="A159">
        <f>9.878998*(29979200000/1000000000)</f>
        <v>296.16445684160004</v>
      </c>
      <c r="B159">
        <v>7.2000000000000005E-4</v>
      </c>
      <c r="C159">
        <f>MAX(0,(-B159+1/EXP((Data!$L$58*2.54)*(Data!$V$60+Data!$V$61*($A159/1000)+Data!$V$62*($A159/1000)^2+Data!$V$63*($A159/1000)^3+Data!$V$64*($A159/1000)^4+Data!$V$65*($A159/1000)^5+Data!$V$66*($A159/1000)^6+Data!$V$67*($A159/1000)^7))))</f>
        <v>0.74164553616247808</v>
      </c>
    </row>
    <row r="160" spans="1:3" x14ac:dyDescent="0.3">
      <c r="A160">
        <f>9.929401*(29979200000/1000000000)</f>
        <v>297.67549845920001</v>
      </c>
      <c r="B160">
        <v>3.3E-4</v>
      </c>
      <c r="C160">
        <f>MAX(0,(-B160+1/EXP((Data!$L$58*2.54)*(Data!$V$60+Data!$V$61*($A160/1000)+Data!$V$62*($A160/1000)^2+Data!$V$63*($A160/1000)^3+Data!$V$64*($A160/1000)^4+Data!$V$65*($A160/1000)^5+Data!$V$66*($A160/1000)^6+Data!$V$67*($A160/1000)^7))))</f>
        <v>0.74084840600519408</v>
      </c>
    </row>
    <row r="161" spans="1:3" x14ac:dyDescent="0.3">
      <c r="A161">
        <f>9.979804*(29979200000/1000000000)</f>
        <v>299.18654007679999</v>
      </c>
      <c r="B161">
        <v>4.2999999999999999E-4</v>
      </c>
      <c r="C161">
        <f>MAX(0,(-B161+1/EXP((Data!$L$58*2.54)*(Data!$V$60+Data!$V$61*($A161/1000)+Data!$V$62*($A161/1000)^2+Data!$V$63*($A161/1000)^3+Data!$V$64*($A161/1000)^4+Data!$V$65*($A161/1000)^5+Data!$V$66*($A161/1000)^6+Data!$V$67*($A161/1000)^7))))</f>
        <v>0.73956648639721312</v>
      </c>
    </row>
    <row r="162" spans="1:3" x14ac:dyDescent="0.3">
      <c r="A162">
        <f>10.030207*(29979200000/1000000000)</f>
        <v>300.69758169440001</v>
      </c>
      <c r="B162">
        <v>0</v>
      </c>
      <c r="C162">
        <f>MAX(0,(-B162+1/EXP((Data!$L$58*2.54)*(Data!$V$60+Data!$V$61*($A162/1000)+Data!$V$62*($A162/1000)^2+Data!$V$63*($A162/1000)^3+Data!$V$64*($A162/1000)^4+Data!$V$65*($A162/1000)^5+Data!$V$66*($A162/1000)^6+Data!$V$67*($A162/1000)^7))))</f>
        <v>0.73881975610199857</v>
      </c>
    </row>
    <row r="163" spans="1:3" x14ac:dyDescent="0.3">
      <c r="A163">
        <f>10.08061*(29979200000/1000000000)</f>
        <v>302.20862331199999</v>
      </c>
      <c r="B163">
        <v>0</v>
      </c>
      <c r="C163">
        <f>MAX(0,(-B163+1/EXP((Data!$L$58*2.54)*(Data!$V$60+Data!$V$61*($A163/1000)+Data!$V$62*($A163/1000)^2+Data!$V$63*($A163/1000)^3+Data!$V$64*($A163/1000)^4+Data!$V$65*($A163/1000)^5+Data!$V$66*($A163/1000)^6+Data!$V$67*($A163/1000)^7))))</f>
        <v>0.73764819397596992</v>
      </c>
    </row>
    <row r="164" spans="1:3" x14ac:dyDescent="0.3">
      <c r="A164">
        <f>10.131013*(29979200000/1000000000)</f>
        <v>303.71966492960001</v>
      </c>
      <c r="B164">
        <v>6.9999999999999994E-5</v>
      </c>
      <c r="C164">
        <f>MAX(0,(-B164+1/EXP((Data!$L$58*2.54)*(Data!$V$60+Data!$V$61*($A164/1000)+Data!$V$62*($A164/1000)^2+Data!$V$63*($A164/1000)^3+Data!$V$64*($A164/1000)^4+Data!$V$65*($A164/1000)^5+Data!$V$66*($A164/1000)^6+Data!$V$67*($A164/1000)^7))))</f>
        <v>0.73641177896799026</v>
      </c>
    </row>
    <row r="165" spans="1:3" x14ac:dyDescent="0.3">
      <c r="A165">
        <f>10.181416*(29979200000/1000000000)</f>
        <v>305.23070654719999</v>
      </c>
      <c r="B165">
        <v>2.5999999999999998E-4</v>
      </c>
      <c r="C165">
        <f>MAX(0,(-B165+1/EXP((Data!$L$58*2.54)*(Data!$V$60+Data!$V$61*($A165/1000)+Data!$V$62*($A165/1000)^2+Data!$V$63*($A165/1000)^3+Data!$V$64*($A165/1000)^4+Data!$V$65*($A165/1000)^5+Data!$V$66*($A165/1000)^6+Data!$V$67*($A165/1000)^7))))</f>
        <v>0.73506049011885821</v>
      </c>
    </row>
    <row r="166" spans="1:3" x14ac:dyDescent="0.3">
      <c r="A166">
        <f>10.231819*(29979200000/1000000000)</f>
        <v>306.74174816480001</v>
      </c>
      <c r="B166">
        <v>2.1000000000000001E-4</v>
      </c>
      <c r="C166">
        <f>MAX(0,(-B166+1/EXP((Data!$L$58*2.54)*(Data!$V$60+Data!$V$61*($A166/1000)+Data!$V$62*($A166/1000)^2+Data!$V$63*($A166/1000)^3+Data!$V$64*($A166/1000)^4+Data!$V$65*($A166/1000)^5+Data!$V$66*($A166/1000)^6+Data!$V$67*($A166/1000)^7))))</f>
        <v>0.73395430656080107</v>
      </c>
    </row>
    <row r="167" spans="1:3" x14ac:dyDescent="0.3">
      <c r="A167">
        <f>10.282222*(29979200000/1000000000)</f>
        <v>308.25278978239999</v>
      </c>
      <c r="B167">
        <v>4.2999999999999999E-4</v>
      </c>
      <c r="C167">
        <f>MAX(0,(-B167+1/EXP((Data!$L$58*2.54)*(Data!$V$60+Data!$V$61*($A167/1000)+Data!$V$62*($A167/1000)^2+Data!$V$63*($A167/1000)^3+Data!$V$64*($A167/1000)^4+Data!$V$65*($A167/1000)^5+Data!$V$66*($A167/1000)^6+Data!$V$67*($A167/1000)^7))))</f>
        <v>0.73258320751697259</v>
      </c>
    </row>
    <row r="168" spans="1:3" x14ac:dyDescent="0.3">
      <c r="A168">
        <f>10.332625*(29979200000/1000000000)</f>
        <v>309.76383140000002</v>
      </c>
      <c r="B168">
        <v>4.8999999999999998E-4</v>
      </c>
      <c r="C168">
        <f>MAX(0,(-B168+1/EXP((Data!$L$58*2.54)*(Data!$V$60+Data!$V$61*($A168/1000)+Data!$V$62*($A168/1000)^2+Data!$V$63*($A168/1000)^3+Data!$V$64*($A168/1000)^4+Data!$V$65*($A168/1000)^5+Data!$V$66*($A168/1000)^6+Data!$V$67*($A168/1000)^7))))</f>
        <v>0.73137717230095189</v>
      </c>
    </row>
    <row r="169" spans="1:3" x14ac:dyDescent="0.3">
      <c r="A169">
        <f>10.383028*(29979200000/1000000000)</f>
        <v>311.27487301760004</v>
      </c>
      <c r="B169">
        <v>2.0000000000000001E-4</v>
      </c>
      <c r="C169">
        <f>MAX(0,(-B169+1/EXP((Data!$L$58*2.54)*(Data!$V$60+Data!$V$61*($A169/1000)+Data!$V$62*($A169/1000)^2+Data!$V$63*($A169/1000)^3+Data!$V$64*($A169/1000)^4+Data!$V$65*($A169/1000)^5+Data!$V$66*($A169/1000)^6+Data!$V$67*($A169/1000)^7))))</f>
        <v>0.73052618031624639</v>
      </c>
    </row>
    <row r="170" spans="1:3" x14ac:dyDescent="0.3">
      <c r="A170">
        <f>10.433431*(29979200000/1000000000)</f>
        <v>312.78591463520002</v>
      </c>
      <c r="B170">
        <v>1E-4</v>
      </c>
      <c r="C170">
        <f>MAX(0,(-B170+1/EXP((Data!$L$58*2.54)*(Data!$V$60+Data!$V$61*($A170/1000)+Data!$V$62*($A170/1000)^2+Data!$V$63*($A170/1000)^3+Data!$V$64*($A170/1000)^4+Data!$V$65*($A170/1000)^5+Data!$V$66*($A170/1000)^6+Data!$V$67*($A170/1000)^7))))</f>
        <v>0.72949021105579781</v>
      </c>
    </row>
    <row r="171" spans="1:3" x14ac:dyDescent="0.3">
      <c r="A171">
        <f>10.483834*(29979200000/1000000000)</f>
        <v>314.29695625280004</v>
      </c>
      <c r="B171">
        <v>2.3000000000000001E-4</v>
      </c>
      <c r="C171">
        <f>MAX(0,(-B171+1/EXP((Data!$L$58*2.54)*(Data!$V$60+Data!$V$61*($A171/1000)+Data!$V$62*($A171/1000)^2+Data!$V$63*($A171/1000)^3+Data!$V$64*($A171/1000)^4+Data!$V$65*($A171/1000)^5+Data!$V$66*($A171/1000)^6+Data!$V$67*($A171/1000)^7))))</f>
        <v>0.72822924410148882</v>
      </c>
    </row>
    <row r="172" spans="1:3" x14ac:dyDescent="0.3">
      <c r="A172">
        <f>10.534237*(29979200000/1000000000)</f>
        <v>315.80799787040002</v>
      </c>
      <c r="B172">
        <v>3.1E-4</v>
      </c>
      <c r="C172">
        <f>MAX(0,(-B172+1/EXP((Data!$L$58*2.54)*(Data!$V$60+Data!$V$61*($A172/1000)+Data!$V$62*($A172/1000)^2+Data!$V$63*($A172/1000)^3+Data!$V$64*($A172/1000)^4+Data!$V$65*($A172/1000)^5+Data!$V$66*($A172/1000)^6+Data!$V$67*($A172/1000)^7))))</f>
        <v>0.72702325912365584</v>
      </c>
    </row>
    <row r="173" spans="1:3" x14ac:dyDescent="0.3">
      <c r="A173">
        <f>10.58464*(29979200000/1000000000)</f>
        <v>317.31903948799999</v>
      </c>
      <c r="B173">
        <v>3.8999999999999999E-4</v>
      </c>
      <c r="C173">
        <f>MAX(0,(-B173+1/EXP((Data!$L$58*2.54)*(Data!$V$60+Data!$V$61*($A173/1000)+Data!$V$62*($A173/1000)^2+Data!$V$63*($A173/1000)^3+Data!$V$64*($A173/1000)^4+Data!$V$65*($A173/1000)^5+Data!$V$66*($A173/1000)^6+Data!$V$67*($A173/1000)^7))))</f>
        <v>0.72582223588060168</v>
      </c>
    </row>
    <row r="174" spans="1:3" x14ac:dyDescent="0.3">
      <c r="A174">
        <f>10.635043*(29979200000/1000000000)</f>
        <v>318.83008110560002</v>
      </c>
      <c r="B174">
        <v>4.8000000000000001E-4</v>
      </c>
      <c r="C174">
        <f>MAX(0,(-B174+1/EXP((Data!$L$58*2.54)*(Data!$V$60+Data!$V$61*($A174/1000)+Data!$V$62*($A174/1000)^2+Data!$V$63*($A174/1000)^3+Data!$V$64*($A174/1000)^4+Data!$V$65*($A174/1000)^5+Data!$V$66*($A174/1000)^6+Data!$V$67*($A174/1000)^7))))</f>
        <v>0.72461615421811199</v>
      </c>
    </row>
    <row r="175" spans="1:3" x14ac:dyDescent="0.3">
      <c r="A175">
        <f>10.685446*(29979200000/1000000000)</f>
        <v>320.34112272319999</v>
      </c>
      <c r="B175">
        <v>4.4999999999999999E-4</v>
      </c>
      <c r="C175">
        <f>MAX(0,(-B175+1/EXP((Data!$L$58*2.54)*(Data!$V$60+Data!$V$61*($A175/1000)+Data!$V$62*($A175/1000)^2+Data!$V$63*($A175/1000)^3+Data!$V$64*($A175/1000)^4+Data!$V$65*($A175/1000)^5+Data!$V$66*($A175/1000)^6+Data!$V$67*($A175/1000)^7))))</f>
        <v>0.7235349940689757</v>
      </c>
    </row>
    <row r="176" spans="1:3" x14ac:dyDescent="0.3">
      <c r="A176">
        <f>10.735849*(29979200000/1000000000)</f>
        <v>321.85216434080002</v>
      </c>
      <c r="B176">
        <v>3.5E-4</v>
      </c>
      <c r="C176">
        <f>MAX(0,(-B176+1/EXP((Data!$L$58*2.54)*(Data!$V$60+Data!$V$61*($A176/1000)+Data!$V$62*($A176/1000)^2+Data!$V$63*($A176/1000)^3+Data!$V$64*($A176/1000)^4+Data!$V$65*($A176/1000)^5+Data!$V$66*($A176/1000)^6+Data!$V$67*($A176/1000)^7))))</f>
        <v>0.72252873545250451</v>
      </c>
    </row>
    <row r="177" spans="1:3" x14ac:dyDescent="0.3">
      <c r="A177">
        <f>10.786252*(29979200000/1000000000)</f>
        <v>323.36320595840004</v>
      </c>
      <c r="B177">
        <v>4.0999999999999999E-4</v>
      </c>
      <c r="C177">
        <f>MAX(0,(-B177+1/EXP((Data!$L$58*2.54)*(Data!$V$60+Data!$V$61*($A177/1000)+Data!$V$62*($A177/1000)^2+Data!$V$63*($A177/1000)^3+Data!$V$64*($A177/1000)^4+Data!$V$65*($A177/1000)^5+Data!$V$66*($A177/1000)^6+Data!$V$67*($A177/1000)^7))))</f>
        <v>0.72136735847406008</v>
      </c>
    </row>
    <row r="178" spans="1:3" x14ac:dyDescent="0.3">
      <c r="A178">
        <f>10.836655*(29979200000/1000000000)</f>
        <v>324.87424757600002</v>
      </c>
      <c r="B178">
        <v>2.1000000000000001E-4</v>
      </c>
      <c r="C178">
        <f>MAX(0,(-B178+1/EXP((Data!$L$58*2.54)*(Data!$V$60+Data!$V$61*($A178/1000)+Data!$V$62*($A178/1000)^2+Data!$V$63*($A178/1000)^3+Data!$V$64*($A178/1000)^4+Data!$V$65*($A178/1000)^5+Data!$V$66*($A178/1000)^6+Data!$V$67*($A178/1000)^7))))</f>
        <v>0.72047084332458011</v>
      </c>
    </row>
    <row r="179" spans="1:3" x14ac:dyDescent="0.3">
      <c r="A179">
        <f>10.887058*(29979200000/1000000000)</f>
        <v>326.38528919360004</v>
      </c>
      <c r="B179">
        <v>1.2999999999999999E-4</v>
      </c>
      <c r="C179">
        <f>MAX(0,(-B179+1/EXP((Data!$L$58*2.54)*(Data!$V$60+Data!$V$61*($A179/1000)+Data!$V$62*($A179/1000)^2+Data!$V$63*($A179/1000)^3+Data!$V$64*($A179/1000)^4+Data!$V$65*($A179/1000)^5+Data!$V$66*($A179/1000)^6+Data!$V$67*($A179/1000)^7))))</f>
        <v>0.71945917028010764</v>
      </c>
    </row>
    <row r="180" spans="1:3" x14ac:dyDescent="0.3">
      <c r="A180">
        <f>10.937461*(29979200000/1000000000)</f>
        <v>327.89633081120002</v>
      </c>
      <c r="B180">
        <v>5.1000000000000004E-4</v>
      </c>
      <c r="C180">
        <f>MAX(0,(-B180+1/EXP((Data!$L$58*2.54)*(Data!$V$60+Data!$V$61*($A180/1000)+Data!$V$62*($A180/1000)^2+Data!$V$63*($A180/1000)^3+Data!$V$64*($A180/1000)^4+Data!$V$65*($A180/1000)^5+Data!$V$66*($A180/1000)^6+Data!$V$67*($A180/1000)^7))))</f>
        <v>0.71799231970132471</v>
      </c>
    </row>
    <row r="181" spans="1:3" x14ac:dyDescent="0.3">
      <c r="A181">
        <f>10.987864*(29979200000/1000000000)</f>
        <v>329.40737242880004</v>
      </c>
      <c r="B181">
        <v>2.3000000000000001E-4</v>
      </c>
      <c r="C181">
        <f>MAX(0,(-B181+1/EXP((Data!$L$58*2.54)*(Data!$V$60+Data!$V$61*($A181/1000)+Data!$V$62*($A181/1000)^2+Data!$V$63*($A181/1000)^3+Data!$V$64*($A181/1000)^4+Data!$V$65*($A181/1000)^5+Data!$V$66*($A181/1000)^6+Data!$V$67*($A181/1000)^7))))</f>
        <v>0.71719027203308683</v>
      </c>
    </row>
    <row r="182" spans="1:3" x14ac:dyDescent="0.3">
      <c r="A182">
        <f>11.038267*(29979200000/1000000000)</f>
        <v>330.91841404640002</v>
      </c>
      <c r="B182">
        <v>2.0000000000000002E-5</v>
      </c>
      <c r="C182">
        <f>MAX(0,(-B182+1/EXP((Data!$L$58*2.54)*(Data!$V$60+Data!$V$61*($A182/1000)+Data!$V$62*($A182/1000)^2+Data!$V$63*($A182/1000)^3+Data!$V$64*($A182/1000)^4+Data!$V$65*($A182/1000)^5+Data!$V$66*($A182/1000)^6+Data!$V$67*($A182/1000)^7))))</f>
        <v>0.71632300780396052</v>
      </c>
    </row>
    <row r="183" spans="1:3" x14ac:dyDescent="0.3">
      <c r="A183">
        <v>350</v>
      </c>
      <c r="B183">
        <v>0</v>
      </c>
      <c r="C183">
        <f>MAX(0,(-B183+1/EXP((Data!$L$58*2.54)*(Data!$V$60+Data!$V$61*($A183/1000)+Data!$V$62*($A183/1000)^2+Data!$V$63*($A183/1000)^3+Data!$V$64*($A183/1000)^4+Data!$V$65*($A183/1000)^5+Data!$V$66*($A183/1000)^6+Data!$V$67*($A183/1000)^7))))</f>
        <v>0.70314277931350411</v>
      </c>
    </row>
    <row r="184" spans="1:3" x14ac:dyDescent="0.3">
      <c r="A184">
        <v>400</v>
      </c>
      <c r="B184">
        <v>0</v>
      </c>
      <c r="C184">
        <f>MAX(0,(-B184+1/EXP((Data!$L$58*2.54)*(Data!$V$60+Data!$V$61*($A184/1000)+Data!$V$62*($A184/1000)^2+Data!$V$63*($A184/1000)^3+Data!$V$64*($A184/1000)^4+Data!$V$65*($A184/1000)^5+Data!$V$66*($A184/1000)^6+Data!$V$67*($A184/1000)^7))))</f>
        <v>0.67188678909926514</v>
      </c>
    </row>
    <row r="185" spans="1:3" x14ac:dyDescent="0.3">
      <c r="A185">
        <v>450</v>
      </c>
      <c r="B185">
        <v>0</v>
      </c>
      <c r="C185">
        <f>MAX(0,(-B185+1/EXP((Data!$L$58*2.54)*(Data!$V$60+Data!$V$61*($A185/1000)+Data!$V$62*($A185/1000)^2+Data!$V$63*($A185/1000)^3+Data!$V$64*($A185/1000)^4+Data!$V$65*($A185/1000)^5+Data!$V$66*($A185/1000)^6+Data!$V$67*($A185/1000)^7))))</f>
        <v>0.64497234995651942</v>
      </c>
    </row>
    <row r="186" spans="1:3" x14ac:dyDescent="0.3">
      <c r="A186">
        <v>500</v>
      </c>
      <c r="B186">
        <v>0</v>
      </c>
      <c r="C186">
        <f>MAX(0,(-B186+1/EXP((Data!$L$58*2.54)*(Data!$V$60+Data!$V$61*($A186/1000)+Data!$V$62*($A186/1000)^2+Data!$V$63*($A186/1000)^3+Data!$V$64*($A186/1000)^4+Data!$V$65*($A186/1000)^5+Data!$V$66*($A186/1000)^6+Data!$V$67*($A186/1000)^7))))</f>
        <v>0.62185499205095063</v>
      </c>
    </row>
    <row r="187" spans="1:3" x14ac:dyDescent="0.3">
      <c r="A187">
        <v>550</v>
      </c>
      <c r="B187">
        <v>0</v>
      </c>
      <c r="C187">
        <f>MAX(0,(-B187+1/EXP((Data!$L$58*2.54)*(Data!$V$60+Data!$V$61*($A187/1000)+Data!$V$62*($A187/1000)^2+Data!$V$63*($A187/1000)^3+Data!$V$64*($A187/1000)^4+Data!$V$65*($A187/1000)^5+Data!$V$66*($A187/1000)^6+Data!$V$67*($A187/1000)^7))))</f>
        <v>0.60205479586826049</v>
      </c>
    </row>
    <row r="188" spans="1:3" x14ac:dyDescent="0.3">
      <c r="A188">
        <v>600</v>
      </c>
      <c r="B188">
        <v>0</v>
      </c>
      <c r="C188">
        <f>MAX(0,(-B188+1/EXP((Data!$L$58*2.54)*(Data!$V$60+Data!$V$61*($A188/1000)+Data!$V$62*($A188/1000)^2+Data!$V$63*($A188/1000)^3+Data!$V$64*($A188/1000)^4+Data!$V$65*($A188/1000)^5+Data!$V$66*($A188/1000)^6+Data!$V$67*($A188/1000)^7))))</f>
        <v>0.58514546991909178</v>
      </c>
    </row>
    <row r="189" spans="1:3" x14ac:dyDescent="0.3">
      <c r="A189">
        <v>650</v>
      </c>
      <c r="B189">
        <v>0</v>
      </c>
      <c r="C189">
        <f>MAX(0,(-B189+1/EXP((Data!$L$58*2.54)*(Data!$V$60+Data!$V$61*($A189/1000)+Data!$V$62*($A189/1000)^2+Data!$V$63*($A189/1000)^3+Data!$V$64*($A189/1000)^4+Data!$V$65*($A189/1000)^5+Data!$V$66*($A189/1000)^6+Data!$V$67*($A189/1000)^7))))</f>
        <v>0.57074521227910857</v>
      </c>
    </row>
    <row r="190" spans="1:3" x14ac:dyDescent="0.3">
      <c r="A190">
        <v>700</v>
      </c>
      <c r="B190">
        <v>0</v>
      </c>
      <c r="C190">
        <f>MAX(0,(-B190+1/EXP((Data!$L$58*2.54)*(Data!$V$60+Data!$V$61*($A190/1000)+Data!$V$62*($A190/1000)^2+Data!$V$63*($A190/1000)^3+Data!$V$64*($A190/1000)^4+Data!$V$65*($A190/1000)^5+Data!$V$66*($A190/1000)^6+Data!$V$67*($A190/1000)^7))))</f>
        <v>0.55850913077822373</v>
      </c>
    </row>
    <row r="191" spans="1:3" x14ac:dyDescent="0.3">
      <c r="A191">
        <v>750</v>
      </c>
      <c r="B191">
        <v>0</v>
      </c>
      <c r="C191">
        <f>MAX(0,(-B191+1/EXP((Data!$L$58*2.54)*(Data!$V$60+Data!$V$61*($A191/1000)+Data!$V$62*($A191/1000)^2+Data!$V$63*($A191/1000)^3+Data!$V$64*($A191/1000)^4+Data!$V$65*($A191/1000)^5+Data!$V$66*($A191/1000)^6+Data!$V$67*($A191/1000)^7))))</f>
        <v>0.54812305811176343</v>
      </c>
    </row>
    <row r="192" spans="1:3" x14ac:dyDescent="0.3">
      <c r="A192">
        <v>800</v>
      </c>
      <c r="B192">
        <v>0</v>
      </c>
      <c r="C192">
        <f>MAX(0,(-B192+1/EXP((Data!$L$58*2.54)*(Data!$V$60+Data!$V$61*($A192/1000)+Data!$V$62*($A192/1000)^2+Data!$V$63*($A192/1000)^3+Data!$V$64*($A192/1000)^4+Data!$V$65*($A192/1000)^5+Data!$V$66*($A192/1000)^6+Data!$V$67*($A192/1000)^7))))</f>
        <v>0.53929864079161738</v>
      </c>
    </row>
    <row r="193" spans="1:3" x14ac:dyDescent="0.3">
      <c r="A193">
        <v>850</v>
      </c>
      <c r="B193">
        <v>0</v>
      </c>
      <c r="C193">
        <f>MAX(0,(-B193+1/EXP((Data!$L$58*2.54)*(Data!$V$60+Data!$V$61*($A193/1000)+Data!$V$62*($A193/1000)^2+Data!$V$63*($A193/1000)^3+Data!$V$64*($A193/1000)^4+Data!$V$65*($A193/1000)^5+Data!$V$66*($A193/1000)^6+Data!$V$67*($A193/1000)^7))))</f>
        <v>0.53176960776926607</v>
      </c>
    </row>
    <row r="194" spans="1:3" x14ac:dyDescent="0.3">
      <c r="A194">
        <v>900</v>
      </c>
      <c r="B194">
        <v>0</v>
      </c>
      <c r="C194">
        <f>MAX(0,(-B194+1/EXP((Data!$L$58*2.54)*(Data!$V$60+Data!$V$61*($A194/1000)+Data!$V$62*($A194/1000)^2+Data!$V$63*($A194/1000)^3+Data!$V$64*($A194/1000)^4+Data!$V$65*($A194/1000)^5+Data!$V$66*($A194/1000)^6+Data!$V$67*($A194/1000)^7))))</f>
        <v>0.52528913766636987</v>
      </c>
    </row>
    <row r="195" spans="1:3" x14ac:dyDescent="0.3">
      <c r="A195">
        <v>950</v>
      </c>
      <c r="B195">
        <v>0</v>
      </c>
      <c r="C195">
        <f>MAX(0,(-B195+1/EXP((Data!$L$58*2.54)*(Data!$V$60+Data!$V$61*($A195/1000)+Data!$V$62*($A195/1000)^2+Data!$V$63*($A195/1000)^3+Data!$V$64*($A195/1000)^4+Data!$V$65*($A195/1000)^5+Data!$V$66*($A195/1000)^6+Data!$V$67*($A195/1000)^7))))</f>
        <v>0.51962824427341425</v>
      </c>
    </row>
    <row r="196" spans="1:3" x14ac:dyDescent="0.3">
      <c r="A196">
        <v>1000</v>
      </c>
      <c r="B196">
        <v>0</v>
      </c>
      <c r="C196">
        <f>MAX(0,(-B196+1/EXP((Data!$L$58*2.54)*(Data!$V$60+Data!$V$61*($A196/1000)+Data!$V$62*($A196/1000)^2+Data!$V$63*($A196/1000)^3+Data!$V$64*($A196/1000)^4+Data!$V$65*($A196/1000)^5+Data!$V$66*($A196/1000)^6+Data!$V$67*($A196/1000)^7))))</f>
        <v>0.51457508981055788</v>
      </c>
    </row>
    <row r="197" spans="1:3" x14ac:dyDescent="0.3">
      <c r="A197">
        <v>1100</v>
      </c>
      <c r="B197">
        <v>0</v>
      </c>
      <c r="C197">
        <f>MAX(0,(-B197+1/EXP((Data!$L$58*2.54)*(Data!$V$60+Data!$V$61*($A197/1000)+Data!$V$62*($A197/1000)^2+Data!$V$63*($A197/1000)^3+Data!$V$64*($A197/1000)^4+Data!$V$65*($A197/1000)^5+Data!$V$66*($A197/1000)^6+Data!$V$67*($A197/1000)^7))))</f>
        <v>0.50553186052317067</v>
      </c>
    </row>
    <row r="198" spans="1:3" x14ac:dyDescent="0.3">
      <c r="A198">
        <v>1200</v>
      </c>
      <c r="B198">
        <v>0</v>
      </c>
      <c r="C198">
        <f>MAX(0,(-B198+1/EXP((Data!$L$58*2.54)*(Data!$V$60+Data!$V$61*($A198/1000)+Data!$V$62*($A198/1000)^2+Data!$V$63*($A198/1000)^3+Data!$V$64*($A198/1000)^4+Data!$V$65*($A198/1000)^5+Data!$V$66*($A198/1000)^6+Data!$V$67*($A198/1000)^7))))</f>
        <v>0.49682846279702125</v>
      </c>
    </row>
    <row r="199" spans="1:3" x14ac:dyDescent="0.3">
      <c r="A199">
        <v>1300</v>
      </c>
      <c r="B199">
        <v>0</v>
      </c>
      <c r="C199">
        <f>MAX(0,(-B199+1/EXP((Data!$L$58*2.54)*(Data!$V$60+Data!$V$61*($A199/1000)+Data!$V$62*($A199/1000)^2+Data!$V$63*($A199/1000)^3+Data!$V$64*($A199/1000)^4+Data!$V$65*($A199/1000)^5+Data!$V$66*($A199/1000)^6+Data!$V$67*($A199/1000)^7))))</f>
        <v>0.48747241090485499</v>
      </c>
    </row>
    <row r="200" spans="1:3" x14ac:dyDescent="0.3">
      <c r="A200">
        <v>1400</v>
      </c>
      <c r="B200">
        <v>0</v>
      </c>
      <c r="C200">
        <f>MAX(0,(-B200+1/EXP((Data!$L$58*2.54)*(Data!$V$60+Data!$V$61*($A200/1000)+Data!$V$62*($A200/1000)^2+Data!$V$63*($A200/1000)^3+Data!$V$64*($A200/1000)^4+Data!$V$65*($A200/1000)^5+Data!$V$66*($A200/1000)^6+Data!$V$67*($A200/1000)^7))))</f>
        <v>0.47686196503027506</v>
      </c>
    </row>
    <row r="201" spans="1:3" x14ac:dyDescent="0.3">
      <c r="A201">
        <v>1500</v>
      </c>
      <c r="B201">
        <v>0</v>
      </c>
      <c r="C201">
        <f>MAX(0,(-B201+1/EXP((Data!$L$58*2.54)*(Data!$V$60+Data!$V$61*($A201/1000)+Data!$V$62*($A201/1000)^2+Data!$V$63*($A201/1000)^3+Data!$V$64*($A201/1000)^4+Data!$V$65*($A201/1000)^5+Data!$V$66*($A201/1000)^6+Data!$V$67*($A201/1000)^7))))</f>
        <v>0.46481951805942784</v>
      </c>
    </row>
    <row r="202" spans="1:3" x14ac:dyDescent="0.3">
      <c r="A202">
        <v>1600</v>
      </c>
      <c r="B202">
        <v>0</v>
      </c>
      <c r="C202">
        <f>MAX(0,(-B202+1/EXP((Data!$L$58*2.54)*(Data!$V$60+Data!$V$61*($A202/1000)+Data!$V$62*($A202/1000)^2+Data!$V$63*($A202/1000)^3+Data!$V$64*($A202/1000)^4+Data!$V$65*($A202/1000)^5+Data!$V$66*($A202/1000)^6+Data!$V$67*($A202/1000)^7))))</f>
        <v>0.45158531054140572</v>
      </c>
    </row>
    <row r="203" spans="1:3" x14ac:dyDescent="0.3">
      <c r="A203">
        <v>1700</v>
      </c>
      <c r="B203">
        <v>0</v>
      </c>
      <c r="C203">
        <f>MAX(0,(-B203+1/EXP((Data!$L$58*2.54)*(Data!$V$60+Data!$V$61*($A203/1000)+Data!$V$62*($A203/1000)^2+Data!$V$63*($A203/1000)^3+Data!$V$64*($A203/1000)^4+Data!$V$65*($A203/1000)^5+Data!$V$66*($A203/1000)^6+Data!$V$67*($A203/1000)^7))))</f>
        <v>0.43776282414145984</v>
      </c>
    </row>
    <row r="204" spans="1:3" x14ac:dyDescent="0.3">
      <c r="A204">
        <v>1800</v>
      </c>
      <c r="B204">
        <v>0</v>
      </c>
      <c r="C204">
        <f>MAX(0,(-B204+1/EXP((Data!$L$58*2.54)*(Data!$V$60+Data!$V$61*($A204/1000)+Data!$V$62*($A204/1000)^2+Data!$V$63*($A204/1000)^3+Data!$V$64*($A204/1000)^4+Data!$V$65*($A204/1000)^5+Data!$V$66*($A204/1000)^6+Data!$V$67*($A204/1000)^7))))</f>
        <v>0.42422200499211649</v>
      </c>
    </row>
    <row r="205" spans="1:3" x14ac:dyDescent="0.3">
      <c r="A205">
        <v>1900</v>
      </c>
      <c r="B205">
        <v>0</v>
      </c>
      <c r="C205">
        <f>MAX(0,(-B205+1/EXP((Data!$L$58*2.54)*(Data!$V$60+Data!$V$61*($A205/1000)+Data!$V$62*($A205/1000)^2+Data!$V$63*($A205/1000)^3+Data!$V$64*($A205/1000)^4+Data!$V$65*($A205/1000)^5+Data!$V$66*($A205/1000)^6+Data!$V$67*($A205/1000)^7))))</f>
        <v>0.41197757005083502</v>
      </c>
    </row>
    <row r="206" spans="1:3" x14ac:dyDescent="0.3">
      <c r="A206">
        <v>2000</v>
      </c>
      <c r="B206">
        <v>0</v>
      </c>
      <c r="C206">
        <f>MAX(0,(-B206+1/EXP((Data!$L$58*2.54)*(Data!$V$60+Data!$V$61*($A206/1000)+Data!$V$62*($A206/1000)^2+Data!$V$63*($A206/1000)^3+Data!$V$64*($A206/1000)^4+Data!$V$65*($A206/1000)^5+Data!$V$66*($A206/1000)^6+Data!$V$67*($A206/1000)^7))))</f>
        <v>0.40206153333985606</v>
      </c>
    </row>
    <row r="207" spans="1:3" x14ac:dyDescent="0.3">
      <c r="A207">
        <v>2100</v>
      </c>
      <c r="B207">
        <v>0</v>
      </c>
      <c r="C207">
        <f>MAX(0,(-B207+1/EXP((Data!$L$58*2.54)*(Data!$V$60+Data!$V$61*($A207/1000)+Data!$V$62*($A207/1000)^2+Data!$V$63*($A207/1000)^3+Data!$V$64*($A207/1000)^4+Data!$V$65*($A207/1000)^5+Data!$V$66*($A207/1000)^6+Data!$V$67*($A207/1000)^7))))</f>
        <v>0.39539953539154044</v>
      </c>
    </row>
    <row r="208" spans="1:3" x14ac:dyDescent="0.3">
      <c r="A208">
        <v>2200</v>
      </c>
      <c r="B208">
        <v>0</v>
      </c>
      <c r="C208">
        <f>MAX(0,(-B208+1/EXP((Data!$L$58*2.54)*(Data!$V$60+Data!$V$61*($A208/1000)+Data!$V$62*($A208/1000)^2+Data!$V$63*($A208/1000)^3+Data!$V$64*($A208/1000)^4+Data!$V$65*($A208/1000)^5+Data!$V$66*($A208/1000)^6+Data!$V$67*($A208/1000)^7))))</f>
        <v>0.39268094686001687</v>
      </c>
    </row>
    <row r="209" spans="1:3" x14ac:dyDescent="0.3">
      <c r="A209">
        <v>2300</v>
      </c>
      <c r="B209">
        <v>0</v>
      </c>
      <c r="C209">
        <f>MAX(0,(-B209+1/EXP((Data!$L$58*2.54)*(Data!$V$60+Data!$V$61*($A209/1000)+Data!$V$62*($A209/1000)^2+Data!$V$63*($A209/1000)^3+Data!$V$64*($A209/1000)^4+Data!$V$65*($A209/1000)^5+Data!$V$66*($A209/1000)^6+Data!$V$67*($A209/1000)^7))))</f>
        <v>0.39418668939702078</v>
      </c>
    </row>
    <row r="210" spans="1:3" x14ac:dyDescent="0.3">
      <c r="A210">
        <v>2400</v>
      </c>
      <c r="B210">
        <v>0</v>
      </c>
      <c r="C210">
        <f>MAX(0,(-B210+1/EXP((Data!$L$58*2.54)*(Data!$V$60+Data!$V$61*($A210/1000)+Data!$V$62*($A210/1000)^2+Data!$V$63*($A210/1000)^3+Data!$V$64*($A210/1000)^4+Data!$V$65*($A210/1000)^5+Data!$V$66*($A210/1000)^6+Data!$V$67*($A210/1000)^7))))</f>
        <v>0.39951234269781177</v>
      </c>
    </row>
    <row r="211" spans="1:3" x14ac:dyDescent="0.3">
      <c r="A211">
        <v>2500</v>
      </c>
      <c r="B211">
        <v>0</v>
      </c>
      <c r="C211">
        <f>MAX(0,(-B211+1/EXP((Data!$L$58*2.54)*(Data!$V$60+Data!$V$61*($A211/1000)+Data!$V$62*($A211/1000)^2+Data!$V$63*($A211/1000)^3+Data!$V$64*($A211/1000)^4+Data!$V$65*($A211/1000)^5+Data!$V$66*($A211/1000)^6+Data!$V$67*($A211/1000)^7))))</f>
        <v>0.40711257626250247</v>
      </c>
    </row>
    <row r="212" spans="1:3" x14ac:dyDescent="0.3">
      <c r="A212">
        <v>2600</v>
      </c>
      <c r="B212">
        <v>0</v>
      </c>
      <c r="C212">
        <f>MAX(0,(-B212+1/EXP((Data!$L$58*2.54)*(Data!$V$60+Data!$V$61*($A212/1000)+Data!$V$62*($A212/1000)^2+Data!$V$63*($A212/1000)^3+Data!$V$64*($A212/1000)^4+Data!$V$65*($A212/1000)^5+Data!$V$66*($A212/1000)^6+Data!$V$67*($A212/1000)^7))))</f>
        <v>0.41363882757791048</v>
      </c>
    </row>
    <row r="213" spans="1:3" x14ac:dyDescent="0.3">
      <c r="A213">
        <v>2700</v>
      </c>
      <c r="B213">
        <v>0</v>
      </c>
      <c r="C213">
        <f>MAX(0,(-B213+1/EXP((Data!$L$58*2.54)*(Data!$V$60+Data!$V$61*($A213/1000)+Data!$V$62*($A213/1000)^2+Data!$V$63*($A213/1000)^3+Data!$V$64*($A213/1000)^4+Data!$V$65*($A213/1000)^5+Data!$V$66*($A213/1000)^6+Data!$V$67*($A213/1000)^7))))</f>
        <v>0.4132406270318692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>
      <selection activeCell="Q14" sqref="Q14"/>
    </sheetView>
  </sheetViews>
  <sheetFormatPr defaultRowHeight="14.4" x14ac:dyDescent="0.3"/>
  <sheetData>
    <row r="1" spans="1:4" x14ac:dyDescent="0.3">
      <c r="A1" t="s">
        <v>6</v>
      </c>
    </row>
    <row r="2" spans="1:4" x14ac:dyDescent="0.3">
      <c r="A2" t="s">
        <v>52</v>
      </c>
      <c r="B2" t="s">
        <v>59</v>
      </c>
      <c r="C2" t="s">
        <v>60</v>
      </c>
      <c r="D2" t="s">
        <v>61</v>
      </c>
    </row>
    <row r="3" spans="1:4" x14ac:dyDescent="0.3">
      <c r="A3">
        <v>100</v>
      </c>
      <c r="B3">
        <v>0.99</v>
      </c>
      <c r="C3">
        <f>MIN(0.01,1-B3)</f>
        <v>0.01</v>
      </c>
    </row>
    <row r="4" spans="1:4" x14ac:dyDescent="0.3">
      <c r="A4">
        <v>200</v>
      </c>
      <c r="B4">
        <v>0.99</v>
      </c>
      <c r="C4">
        <f t="shared" ref="C4:C63" si="0">MIN(0.01,1-B4)</f>
        <v>0.01</v>
      </c>
    </row>
    <row r="5" spans="1:4" x14ac:dyDescent="0.3">
      <c r="A5">
        <v>302.97298479364559</v>
      </c>
      <c r="B5">
        <v>0.99063199999999996</v>
      </c>
      <c r="C5">
        <f t="shared" si="0"/>
        <v>9.368000000000043E-3</v>
      </c>
    </row>
    <row r="6" spans="1:4" x14ac:dyDescent="0.3">
      <c r="A6">
        <v>319.95859619005336</v>
      </c>
      <c r="B6">
        <v>0.99297400000000002</v>
      </c>
      <c r="C6">
        <f t="shared" si="0"/>
        <v>7.0259999999999767E-3</v>
      </c>
    </row>
    <row r="7" spans="1:4" x14ac:dyDescent="0.3">
      <c r="A7">
        <v>340.30931984209866</v>
      </c>
      <c r="B7">
        <v>0.97892299999999999</v>
      </c>
      <c r="C7">
        <f t="shared" si="0"/>
        <v>0.01</v>
      </c>
    </row>
    <row r="8" spans="1:4" x14ac:dyDescent="0.3">
      <c r="A8">
        <v>360.36496716641693</v>
      </c>
      <c r="B8">
        <v>0.95550400000000002</v>
      </c>
      <c r="C8">
        <f t="shared" si="0"/>
        <v>0.01</v>
      </c>
    </row>
    <row r="9" spans="1:4" x14ac:dyDescent="0.3">
      <c r="A9">
        <v>402.74976458000668</v>
      </c>
      <c r="B9">
        <v>0.91803299999999999</v>
      </c>
      <c r="C9">
        <f t="shared" si="0"/>
        <v>0.01</v>
      </c>
    </row>
    <row r="10" spans="1:4" x14ac:dyDescent="0.3">
      <c r="A10">
        <v>442.28490219775011</v>
      </c>
      <c r="B10">
        <v>0.90632299999999999</v>
      </c>
      <c r="C10">
        <f t="shared" si="0"/>
        <v>0.01</v>
      </c>
    </row>
    <row r="11" spans="1:4" x14ac:dyDescent="0.3">
      <c r="A11">
        <v>520.22977757451702</v>
      </c>
      <c r="B11">
        <v>0.91569100000000003</v>
      </c>
      <c r="C11">
        <f t="shared" si="0"/>
        <v>0.01</v>
      </c>
    </row>
    <row r="12" spans="1:4" x14ac:dyDescent="0.3">
      <c r="A12">
        <v>600.51465301624762</v>
      </c>
      <c r="B12">
        <v>0.91803299999999999</v>
      </c>
      <c r="C12">
        <f t="shared" si="0"/>
        <v>0.01</v>
      </c>
    </row>
    <row r="13" spans="1:4" x14ac:dyDescent="0.3">
      <c r="A13">
        <v>655.71089301432528</v>
      </c>
      <c r="B13">
        <v>0.89695599999999998</v>
      </c>
      <c r="C13">
        <f t="shared" si="0"/>
        <v>0.01</v>
      </c>
    </row>
    <row r="14" spans="1:4" x14ac:dyDescent="0.3">
      <c r="A14">
        <v>728.22334549521463</v>
      </c>
      <c r="B14">
        <v>0.85480100000000003</v>
      </c>
      <c r="C14">
        <f t="shared" si="0"/>
        <v>0.01</v>
      </c>
    </row>
    <row r="15" spans="1:4" x14ac:dyDescent="0.3">
      <c r="A15">
        <v>774.33195994685741</v>
      </c>
      <c r="B15">
        <v>0.87587800000000005</v>
      </c>
      <c r="C15">
        <f t="shared" si="0"/>
        <v>0.01</v>
      </c>
    </row>
    <row r="16" spans="1:4" x14ac:dyDescent="0.3">
      <c r="A16">
        <v>842.95437718843482</v>
      </c>
      <c r="B16">
        <v>0.89695599999999998</v>
      </c>
      <c r="C16">
        <f t="shared" si="0"/>
        <v>0.01</v>
      </c>
    </row>
    <row r="17" spans="1:3" x14ac:dyDescent="0.3">
      <c r="A17">
        <v>905.35875350228571</v>
      </c>
      <c r="B17">
        <v>0.87119400000000002</v>
      </c>
      <c r="C17">
        <f t="shared" si="0"/>
        <v>0.01</v>
      </c>
    </row>
    <row r="18" spans="1:3" x14ac:dyDescent="0.3">
      <c r="A18">
        <v>1000.5977920128705</v>
      </c>
      <c r="B18">
        <v>0.85948500000000005</v>
      </c>
      <c r="C18">
        <f t="shared" si="0"/>
        <v>0.01</v>
      </c>
    </row>
    <row r="19" spans="1:3" x14ac:dyDescent="0.3">
      <c r="A19">
        <v>1076.0618706968251</v>
      </c>
      <c r="B19">
        <v>0.94613599999999998</v>
      </c>
      <c r="C19">
        <f t="shared" si="0"/>
        <v>0.01</v>
      </c>
    </row>
    <row r="20" spans="1:3" x14ac:dyDescent="0.3">
      <c r="A20">
        <v>1213.3233073923334</v>
      </c>
      <c r="B20">
        <v>0.97189700000000001</v>
      </c>
      <c r="C20">
        <f t="shared" si="0"/>
        <v>0.01</v>
      </c>
    </row>
    <row r="21" spans="1:3" x14ac:dyDescent="0.3">
      <c r="A21">
        <v>1326.0934590275363</v>
      </c>
      <c r="B21">
        <v>0.93911</v>
      </c>
      <c r="C21">
        <f t="shared" si="0"/>
        <v>0.01</v>
      </c>
    </row>
    <row r="22" spans="1:3" x14ac:dyDescent="0.3">
      <c r="A22">
        <v>1368.4907628904855</v>
      </c>
      <c r="B22">
        <v>0.88758800000000004</v>
      </c>
      <c r="C22">
        <f t="shared" si="0"/>
        <v>0.01</v>
      </c>
    </row>
    <row r="23" spans="1:3" x14ac:dyDescent="0.3">
      <c r="A23">
        <v>1800.1408876401704</v>
      </c>
      <c r="B23">
        <v>0.87353599999999998</v>
      </c>
      <c r="C23">
        <f t="shared" si="0"/>
        <v>0.01</v>
      </c>
    </row>
    <row r="24" spans="1:3" x14ac:dyDescent="0.3">
      <c r="A24">
        <v>2712.8883698695486</v>
      </c>
      <c r="B24">
        <v>0.86651100000000003</v>
      </c>
      <c r="C24">
        <f t="shared" si="0"/>
        <v>0.01</v>
      </c>
    </row>
    <row r="25" spans="1:3" x14ac:dyDescent="0.3">
      <c r="A25">
        <v>3047.2075664911331</v>
      </c>
      <c r="B25">
        <v>0.89227199999999995</v>
      </c>
      <c r="C25">
        <f t="shared" si="0"/>
        <v>0.01</v>
      </c>
    </row>
    <row r="26" spans="1:3" x14ac:dyDescent="0.3">
      <c r="A26">
        <v>3140.173209268542</v>
      </c>
      <c r="B26">
        <v>0.92037500000000005</v>
      </c>
      <c r="C26">
        <f t="shared" si="0"/>
        <v>0.01</v>
      </c>
    </row>
    <row r="27" spans="1:3" x14ac:dyDescent="0.3">
      <c r="A27">
        <v>3238.9898707854913</v>
      </c>
      <c r="B27">
        <v>0.9274</v>
      </c>
      <c r="C27">
        <f t="shared" si="0"/>
        <v>0.01</v>
      </c>
    </row>
    <row r="28" spans="1:3" x14ac:dyDescent="0.3">
      <c r="A28">
        <v>3393.2274557477763</v>
      </c>
      <c r="B28">
        <v>0.90398100000000003</v>
      </c>
      <c r="C28">
        <f t="shared" si="0"/>
        <v>0.01</v>
      </c>
    </row>
    <row r="29" spans="1:3" x14ac:dyDescent="0.3">
      <c r="A29">
        <v>3647.0515858591721</v>
      </c>
      <c r="B29">
        <v>0.89695599999999998</v>
      </c>
      <c r="C29">
        <f t="shared" si="0"/>
        <v>0.01</v>
      </c>
    </row>
    <row r="30" spans="1:3" x14ac:dyDescent="0.3">
      <c r="A30">
        <v>3875.9460409976032</v>
      </c>
      <c r="B30">
        <v>0.88056199999999996</v>
      </c>
      <c r="C30">
        <f t="shared" si="0"/>
        <v>0.01</v>
      </c>
    </row>
    <row r="31" spans="1:3" x14ac:dyDescent="0.3">
      <c r="A31">
        <v>4496.8499775157497</v>
      </c>
      <c r="B31">
        <v>0.84074899999999997</v>
      </c>
      <c r="C31">
        <f t="shared" si="0"/>
        <v>0.01</v>
      </c>
    </row>
    <row r="32" spans="1:3" x14ac:dyDescent="0.3">
      <c r="A32">
        <v>4901.3285348631034</v>
      </c>
      <c r="B32">
        <v>0.83372400000000002</v>
      </c>
      <c r="C32">
        <f t="shared" si="0"/>
        <v>0.01</v>
      </c>
    </row>
    <row r="33" spans="1:3" x14ac:dyDescent="0.3">
      <c r="A33">
        <v>5146.3950162969177</v>
      </c>
      <c r="B33">
        <v>0.88758800000000004</v>
      </c>
      <c r="C33">
        <f t="shared" si="0"/>
        <v>0.01</v>
      </c>
    </row>
    <row r="34" spans="1:3" x14ac:dyDescent="0.3">
      <c r="A34">
        <v>5417.2578776297123</v>
      </c>
      <c r="B34">
        <v>0.87822</v>
      </c>
      <c r="C34">
        <f t="shared" si="0"/>
        <v>0.01</v>
      </c>
    </row>
    <row r="35" spans="1:3" x14ac:dyDescent="0.3">
      <c r="A35">
        <v>5718.216717495261</v>
      </c>
      <c r="B35">
        <v>0.73302100000000003</v>
      </c>
      <c r="C35">
        <f t="shared" si="0"/>
        <v>0.01</v>
      </c>
    </row>
    <row r="36" spans="1:3" x14ac:dyDescent="0.3">
      <c r="A36">
        <v>5826.1075108940477</v>
      </c>
      <c r="B36">
        <v>0.59016400000000002</v>
      </c>
      <c r="C36">
        <f t="shared" si="0"/>
        <v>0.01</v>
      </c>
    </row>
    <row r="37" spans="1:3" x14ac:dyDescent="0.3">
      <c r="A37">
        <v>5938.1480643616105</v>
      </c>
      <c r="B37">
        <v>0.43091299999999999</v>
      </c>
      <c r="C37">
        <f t="shared" si="0"/>
        <v>0.01</v>
      </c>
    </row>
    <row r="38" spans="1:3" x14ac:dyDescent="0.3">
      <c r="A38">
        <v>6134.7754861255526</v>
      </c>
      <c r="B38">
        <v>0.274005</v>
      </c>
      <c r="C38">
        <f t="shared" si="0"/>
        <v>0.01</v>
      </c>
    </row>
    <row r="39" spans="1:3" x14ac:dyDescent="0.3">
      <c r="A39">
        <v>6344.8705396881815</v>
      </c>
      <c r="B39">
        <v>0.494145</v>
      </c>
      <c r="C39">
        <f t="shared" si="0"/>
        <v>0.01</v>
      </c>
    </row>
    <row r="40" spans="1:3" x14ac:dyDescent="0.3">
      <c r="A40">
        <v>6569.8659518554332</v>
      </c>
      <c r="B40">
        <v>0.67213100000000003</v>
      </c>
      <c r="C40">
        <f t="shared" si="0"/>
        <v>0.01</v>
      </c>
    </row>
    <row r="41" spans="1:3" x14ac:dyDescent="0.3">
      <c r="A41">
        <v>7017.811298243123</v>
      </c>
      <c r="B41">
        <v>0.79156899999999997</v>
      </c>
      <c r="C41">
        <f t="shared" si="0"/>
        <v>0.01</v>
      </c>
    </row>
    <row r="42" spans="1:3" x14ac:dyDescent="0.3">
      <c r="A42">
        <v>7351.9928623942806</v>
      </c>
      <c r="B42">
        <v>0.82669800000000004</v>
      </c>
      <c r="C42">
        <f t="shared" si="0"/>
        <v>0.01</v>
      </c>
    </row>
    <row r="43" spans="1:3" x14ac:dyDescent="0.3">
      <c r="A43">
        <v>7784.4629970813521</v>
      </c>
      <c r="B43">
        <v>0.78454299999999999</v>
      </c>
      <c r="C43">
        <f t="shared" si="0"/>
        <v>0.01</v>
      </c>
    </row>
    <row r="44" spans="1:3" x14ac:dyDescent="0.3">
      <c r="A44">
        <v>7850.4331054013155</v>
      </c>
      <c r="B44">
        <v>0.69086700000000001</v>
      </c>
      <c r="C44">
        <f t="shared" si="0"/>
        <v>0.01</v>
      </c>
    </row>
    <row r="45" spans="1:3" x14ac:dyDescent="0.3">
      <c r="A45">
        <v>8055.2270601890086</v>
      </c>
      <c r="B45">
        <v>0.59719</v>
      </c>
      <c r="C45">
        <f t="shared" si="0"/>
        <v>0.01</v>
      </c>
    </row>
    <row r="46" spans="1:3" x14ac:dyDescent="0.3">
      <c r="A46">
        <v>8577.3250762428888</v>
      </c>
      <c r="B46">
        <v>0.71897</v>
      </c>
      <c r="C46">
        <f t="shared" si="0"/>
        <v>0.01</v>
      </c>
    </row>
    <row r="47" spans="1:3" x14ac:dyDescent="0.3">
      <c r="A47">
        <v>8993.7000899369996</v>
      </c>
      <c r="B47">
        <v>0.82435599999999998</v>
      </c>
      <c r="C47">
        <f t="shared" si="0"/>
        <v>0.01</v>
      </c>
    </row>
    <row r="48" spans="1:3" x14ac:dyDescent="0.3">
      <c r="A48">
        <v>9452.5623509981488</v>
      </c>
      <c r="B48">
        <v>0.82669800000000004</v>
      </c>
      <c r="C48">
        <f t="shared" si="0"/>
        <v>0.01</v>
      </c>
    </row>
    <row r="49" spans="1:3" x14ac:dyDescent="0.3">
      <c r="A49">
        <v>10179.68248246391</v>
      </c>
      <c r="B49">
        <v>0.77517599999999998</v>
      </c>
      <c r="C49">
        <f t="shared" si="0"/>
        <v>0.01</v>
      </c>
    </row>
    <row r="50" spans="1:3" x14ac:dyDescent="0.3">
      <c r="A50">
        <v>10408.439324673209</v>
      </c>
      <c r="B50">
        <v>0.83606599999999998</v>
      </c>
      <c r="C50">
        <f t="shared" si="0"/>
        <v>0.01</v>
      </c>
    </row>
    <row r="51" spans="1:3" x14ac:dyDescent="0.3">
      <c r="A51">
        <v>10898.248082718645</v>
      </c>
      <c r="B51">
        <v>0.88993</v>
      </c>
      <c r="C51">
        <f t="shared" si="0"/>
        <v>0.01</v>
      </c>
    </row>
    <row r="52" spans="1:3" x14ac:dyDescent="0.3">
      <c r="A52">
        <v>11579.388587888561</v>
      </c>
      <c r="B52">
        <v>0.79156899999999997</v>
      </c>
      <c r="C52">
        <f t="shared" si="0"/>
        <v>0.01</v>
      </c>
    </row>
    <row r="53" spans="1:3" x14ac:dyDescent="0.3">
      <c r="A53">
        <v>11725.963310435129</v>
      </c>
      <c r="B53">
        <v>0.71662800000000004</v>
      </c>
      <c r="C53">
        <f t="shared" si="0"/>
        <v>0.01</v>
      </c>
    </row>
    <row r="54" spans="1:3" x14ac:dyDescent="0.3">
      <c r="A54">
        <v>12351.34782708113</v>
      </c>
      <c r="B54">
        <v>0.77517599999999998</v>
      </c>
      <c r="C54">
        <f t="shared" si="0"/>
        <v>0.01</v>
      </c>
    </row>
    <row r="55" spans="1:3" x14ac:dyDescent="0.3">
      <c r="A55">
        <v>13622.810598627531</v>
      </c>
      <c r="B55">
        <v>0.63466</v>
      </c>
      <c r="C55">
        <f t="shared" si="0"/>
        <v>0.01</v>
      </c>
    </row>
    <row r="56" spans="1:3" x14ac:dyDescent="0.3">
      <c r="A56">
        <v>14035.622925047413</v>
      </c>
      <c r="B56">
        <v>0.4637</v>
      </c>
      <c r="C56">
        <f t="shared" si="0"/>
        <v>0.01</v>
      </c>
    </row>
    <row r="57" spans="1:3" x14ac:dyDescent="0.3">
      <c r="A57">
        <v>14474.236014394379</v>
      </c>
      <c r="B57">
        <v>0.28103</v>
      </c>
      <c r="C57">
        <f t="shared" si="0"/>
        <v>0.01</v>
      </c>
    </row>
    <row r="58" spans="1:3" x14ac:dyDescent="0.3">
      <c r="A58">
        <v>14703.985364190825</v>
      </c>
      <c r="B58">
        <v>9.3676999999999996E-2</v>
      </c>
      <c r="C58">
        <f t="shared" si="0"/>
        <v>0.01</v>
      </c>
    </row>
    <row r="59" spans="1:3" x14ac:dyDescent="0.3">
      <c r="A59">
        <v>15700.866210802631</v>
      </c>
      <c r="B59">
        <v>2.3418999999999999E-2</v>
      </c>
      <c r="C59">
        <f t="shared" si="0"/>
        <v>0.01</v>
      </c>
    </row>
    <row r="60" spans="1:3" x14ac:dyDescent="0.3">
      <c r="A60">
        <v>17814.44419308483</v>
      </c>
      <c r="B60">
        <v>0.112412</v>
      </c>
      <c r="C60">
        <f t="shared" si="0"/>
        <v>0.01</v>
      </c>
    </row>
    <row r="61" spans="1:3" x14ac:dyDescent="0.3">
      <c r="A61">
        <v>21543.048225987932</v>
      </c>
      <c r="B61">
        <v>0.189696</v>
      </c>
      <c r="C61">
        <f t="shared" si="0"/>
        <v>0.01</v>
      </c>
    </row>
    <row r="62" spans="1:3" x14ac:dyDescent="0.3">
      <c r="A62">
        <v>22593.929973664155</v>
      </c>
      <c r="B62">
        <v>6.7916000000000004E-2</v>
      </c>
      <c r="C62">
        <f t="shared" si="0"/>
        <v>0.01</v>
      </c>
    </row>
    <row r="63" spans="1:3" x14ac:dyDescent="0.3">
      <c r="A63">
        <v>28071.244535850175</v>
      </c>
      <c r="B63">
        <v>7.0260000000000001E-3</v>
      </c>
      <c r="C63">
        <f t="shared" si="0"/>
        <v>0.01</v>
      </c>
    </row>
  </sheetData>
  <sortState ref="A2:B21">
    <sortCondition ref="A3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4"/>
  <sheetViews>
    <sheetView workbookViewId="0">
      <selection activeCell="F15" sqref="F15"/>
    </sheetView>
  </sheetViews>
  <sheetFormatPr defaultRowHeight="14.4" x14ac:dyDescent="0.3"/>
  <sheetData>
    <row r="1" spans="1:4" x14ac:dyDescent="0.3">
      <c r="A1" t="s">
        <v>63</v>
      </c>
    </row>
    <row r="2" spans="1:4" x14ac:dyDescent="0.3">
      <c r="A2" t="s">
        <v>52</v>
      </c>
      <c r="B2" t="s">
        <v>59</v>
      </c>
      <c r="C2" t="s">
        <v>60</v>
      </c>
      <c r="D2" t="s">
        <v>62</v>
      </c>
    </row>
    <row r="3" spans="1:4" x14ac:dyDescent="0.3">
      <c r="A3">
        <v>100</v>
      </c>
      <c r="B3">
        <v>0.27472079169829472</v>
      </c>
      <c r="C3">
        <f>(1-1.53)^2/(1+1.53)^2</f>
        <v>4.3884453748691592E-2</v>
      </c>
    </row>
    <row r="4" spans="1:4" x14ac:dyDescent="0.3">
      <c r="A4">
        <v>101.612903</v>
      </c>
      <c r="B4">
        <v>0.32975345823324304</v>
      </c>
      <c r="C4">
        <f t="shared" ref="C4:C24" si="0">(1-1.53)^2/(1+1.53)^2</f>
        <v>4.3884453748691592E-2</v>
      </c>
    </row>
    <row r="5" spans="1:4" x14ac:dyDescent="0.3">
      <c r="A5">
        <v>153.22580600000001</v>
      </c>
      <c r="B5">
        <v>0.35942738898855525</v>
      </c>
      <c r="C5">
        <f t="shared" si="0"/>
        <v>4.3884453748691592E-2</v>
      </c>
    </row>
    <row r="6" spans="1:4" x14ac:dyDescent="0.3">
      <c r="A6">
        <v>241.935484</v>
      </c>
      <c r="B6">
        <v>0.11725265828177024</v>
      </c>
      <c r="C6">
        <f t="shared" si="0"/>
        <v>4.3884453748691592E-2</v>
      </c>
    </row>
    <row r="7" spans="1:4" x14ac:dyDescent="0.3">
      <c r="A7">
        <v>332.25806499999999</v>
      </c>
      <c r="B7">
        <v>3.2195100383908631E-2</v>
      </c>
      <c r="C7">
        <f t="shared" si="0"/>
        <v>4.3884453748691592E-2</v>
      </c>
    </row>
    <row r="8" spans="1:4" x14ac:dyDescent="0.3">
      <c r="A8">
        <v>350</v>
      </c>
      <c r="B8">
        <v>2.5796924489331775E-2</v>
      </c>
      <c r="C8">
        <f t="shared" si="0"/>
        <v>4.3884453748691592E-2</v>
      </c>
    </row>
    <row r="9" spans="1:4" x14ac:dyDescent="0.3">
      <c r="A9">
        <v>425.80645199999998</v>
      </c>
      <c r="B9">
        <v>6.8263759761787749E-3</v>
      </c>
      <c r="C9">
        <f t="shared" si="0"/>
        <v>4.3884453748691592E-2</v>
      </c>
    </row>
    <row r="10" spans="1:4" x14ac:dyDescent="0.3">
      <c r="A10">
        <v>466.129032</v>
      </c>
      <c r="B10">
        <v>2.0430524304813724E-3</v>
      </c>
      <c r="C10">
        <f t="shared" si="0"/>
        <v>4.3884453748691592E-2</v>
      </c>
    </row>
    <row r="11" spans="1:4" x14ac:dyDescent="0.3">
      <c r="A11">
        <v>500</v>
      </c>
      <c r="B11">
        <v>9.2798034997329678E-4</v>
      </c>
      <c r="C11">
        <f t="shared" si="0"/>
        <v>4.3884453748691592E-2</v>
      </c>
    </row>
    <row r="12" spans="1:4" x14ac:dyDescent="0.3">
      <c r="A12">
        <v>514.51612899999998</v>
      </c>
      <c r="B12">
        <v>6.6648538271257428E-4</v>
      </c>
      <c r="C12">
        <f t="shared" si="0"/>
        <v>4.3884453748691592E-2</v>
      </c>
    </row>
    <row r="13" spans="1:4" x14ac:dyDescent="0.3">
      <c r="A13">
        <v>567.74193500000001</v>
      </c>
      <c r="B13">
        <v>1.9947107891257076E-4</v>
      </c>
      <c r="C13">
        <f t="shared" si="0"/>
        <v>4.3884453748691592E-2</v>
      </c>
    </row>
    <row r="14" spans="1:4" x14ac:dyDescent="0.3">
      <c r="A14">
        <v>603.22580600000003</v>
      </c>
      <c r="B14">
        <v>7.7310042105503088E-5</v>
      </c>
      <c r="C14">
        <f t="shared" si="0"/>
        <v>4.3884453748691592E-2</v>
      </c>
    </row>
    <row r="15" spans="1:4" x14ac:dyDescent="0.3">
      <c r="A15">
        <v>633.87096799999995</v>
      </c>
      <c r="B15">
        <v>5.0248696583415452E-5</v>
      </c>
      <c r="C15">
        <f t="shared" si="0"/>
        <v>4.3884453748691592E-2</v>
      </c>
    </row>
    <row r="16" spans="1:4" x14ac:dyDescent="0.3">
      <c r="A16">
        <v>690.32258100000001</v>
      </c>
      <c r="B16">
        <v>7.5480772198917642E-6</v>
      </c>
      <c r="C16">
        <f t="shared" si="0"/>
        <v>4.3884453748691592E-2</v>
      </c>
    </row>
    <row r="17" spans="1:3" x14ac:dyDescent="0.3">
      <c r="A17">
        <v>700</v>
      </c>
      <c r="B17">
        <v>1.2533888086068391E-10</v>
      </c>
      <c r="C17">
        <f t="shared" si="0"/>
        <v>4.3884453748691592E-2</v>
      </c>
    </row>
    <row r="18" spans="1:3" x14ac:dyDescent="0.3">
      <c r="A18">
        <v>750</v>
      </c>
      <c r="B18">
        <v>1.1338298023884054E-6</v>
      </c>
      <c r="C18">
        <f t="shared" si="0"/>
        <v>4.3884453748691592E-2</v>
      </c>
    </row>
    <row r="19" spans="1:3" x14ac:dyDescent="0.3">
      <c r="A19">
        <v>822.580645</v>
      </c>
      <c r="B19">
        <v>1.0156088663383509E-7</v>
      </c>
      <c r="C19">
        <f t="shared" si="0"/>
        <v>4.3884453748691592E-2</v>
      </c>
    </row>
    <row r="20" spans="1:3" x14ac:dyDescent="0.3">
      <c r="A20">
        <v>882.25806499999999</v>
      </c>
      <c r="B20">
        <v>1.0808094422218703E-8</v>
      </c>
      <c r="C20">
        <f t="shared" si="0"/>
        <v>4.3884453748691592E-2</v>
      </c>
    </row>
    <row r="21" spans="1:3" x14ac:dyDescent="0.3">
      <c r="A21">
        <v>930.64516100000003</v>
      </c>
      <c r="B21">
        <v>2.1024580010507299E-9</v>
      </c>
      <c r="C21">
        <f t="shared" si="0"/>
        <v>4.3884453748691592E-2</v>
      </c>
    </row>
    <row r="22" spans="1:3" x14ac:dyDescent="0.3">
      <c r="A22">
        <v>964.51612899999998</v>
      </c>
      <c r="B22">
        <v>2.8974546072764984E-10</v>
      </c>
      <c r="C22">
        <f t="shared" si="0"/>
        <v>4.3884453748691592E-2</v>
      </c>
    </row>
    <row r="23" spans="1:3" x14ac:dyDescent="0.3">
      <c r="A23">
        <v>980.64516100000003</v>
      </c>
      <c r="B23">
        <v>2.0527107360585094E-10</v>
      </c>
      <c r="C23">
        <f t="shared" si="0"/>
        <v>4.3884453748691592E-2</v>
      </c>
    </row>
    <row r="24" spans="1:3" x14ac:dyDescent="0.3">
      <c r="A24">
        <v>998.38709700000004</v>
      </c>
      <c r="B24">
        <v>1.3341880838422832E-10</v>
      </c>
      <c r="C24">
        <f t="shared" si="0"/>
        <v>4.3884453748691592E-2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74"/>
  <sheetViews>
    <sheetView topLeftCell="A34" workbookViewId="0">
      <selection activeCell="T36" sqref="T36"/>
    </sheetView>
  </sheetViews>
  <sheetFormatPr defaultRowHeight="14.4" x14ac:dyDescent="0.3"/>
  <sheetData>
    <row r="1" spans="1:30" x14ac:dyDescent="0.3">
      <c r="A1" t="s">
        <v>6</v>
      </c>
      <c r="P1" s="1" t="s">
        <v>28</v>
      </c>
    </row>
    <row r="2" spans="1:30" x14ac:dyDescent="0.3">
      <c r="A2" t="s">
        <v>7</v>
      </c>
      <c r="D2" t="s">
        <v>17</v>
      </c>
      <c r="G2" t="s">
        <v>12</v>
      </c>
    </row>
    <row r="3" spans="1:30" x14ac:dyDescent="0.3">
      <c r="A3" t="s">
        <v>8</v>
      </c>
      <c r="B3" t="s">
        <v>9</v>
      </c>
      <c r="D3" t="s">
        <v>18</v>
      </c>
      <c r="G3" t="s">
        <v>10</v>
      </c>
      <c r="H3" t="s">
        <v>11</v>
      </c>
      <c r="J3" t="s">
        <v>22</v>
      </c>
    </row>
    <row r="4" spans="1:30" x14ac:dyDescent="0.3">
      <c r="A4">
        <v>302.97298479364559</v>
      </c>
      <c r="B4">
        <v>0.99063199999999996</v>
      </c>
      <c r="D4">
        <f>B4^(7.62*2)</f>
        <v>0.86637169560533833</v>
      </c>
      <c r="G4">
        <v>169.50206600000001</v>
      </c>
      <c r="H4">
        <v>3.4714659999999999</v>
      </c>
      <c r="J4">
        <f>EXP(-0.95*H4)</f>
        <v>3.696097325124572E-2</v>
      </c>
    </row>
    <row r="5" spans="1:30" x14ac:dyDescent="0.3">
      <c r="A5">
        <v>319.95859619005336</v>
      </c>
      <c r="B5">
        <v>0.99297400000000002</v>
      </c>
      <c r="D5">
        <f t="shared" ref="D5:D62" si="0">B5^(7.62*2)</f>
        <v>0.89811768215472476</v>
      </c>
      <c r="G5">
        <v>260.58530100000002</v>
      </c>
      <c r="H5">
        <v>4.7612719999999999</v>
      </c>
      <c r="J5">
        <f t="shared" ref="J5:J27" si="1">EXP(-0.95*H5)</f>
        <v>1.0854143310008476E-2</v>
      </c>
      <c r="M5" t="s">
        <v>15</v>
      </c>
      <c r="Y5" t="s">
        <v>66</v>
      </c>
    </row>
    <row r="6" spans="1:30" x14ac:dyDescent="0.3">
      <c r="A6">
        <v>340.30931984209866</v>
      </c>
      <c r="B6">
        <v>0.97892299999999999</v>
      </c>
      <c r="D6">
        <f t="shared" si="0"/>
        <v>0.72278250983608083</v>
      </c>
      <c r="G6">
        <v>358.93817300000001</v>
      </c>
      <c r="H6">
        <v>6.4165580000000002</v>
      </c>
      <c r="J6">
        <f t="shared" si="1"/>
        <v>2.2524650155268939E-3</v>
      </c>
      <c r="M6" t="s">
        <v>10</v>
      </c>
      <c r="N6" t="s">
        <v>14</v>
      </c>
      <c r="P6" t="s">
        <v>22</v>
      </c>
      <c r="Y6" t="s">
        <v>67</v>
      </c>
    </row>
    <row r="7" spans="1:30" x14ac:dyDescent="0.3">
      <c r="A7">
        <v>360.36496716641693</v>
      </c>
      <c r="B7">
        <v>0.95550400000000002</v>
      </c>
      <c r="D7">
        <f t="shared" si="0"/>
        <v>0.49973923116649493</v>
      </c>
      <c r="G7">
        <v>464.56068299999998</v>
      </c>
      <c r="H7">
        <v>8.4373240000000003</v>
      </c>
      <c r="J7">
        <f t="shared" si="1"/>
        <v>3.3031698630171655E-4</v>
      </c>
      <c r="M7" s="2">
        <v>100</v>
      </c>
      <c r="N7" s="2">
        <v>1.36</v>
      </c>
      <c r="O7" s="2"/>
      <c r="P7" s="2">
        <f t="shared" ref="P7:P28" si="2">EXP(-0.95*N7)</f>
        <v>0.27472079169829472</v>
      </c>
      <c r="Q7" s="1" t="s">
        <v>29</v>
      </c>
      <c r="Y7" t="s">
        <v>68</v>
      </c>
    </row>
    <row r="8" spans="1:30" x14ac:dyDescent="0.3">
      <c r="A8">
        <v>402.74976458000668</v>
      </c>
      <c r="B8">
        <v>0.91803299999999999</v>
      </c>
      <c r="D8">
        <f t="shared" si="0"/>
        <v>0.27161914791998698</v>
      </c>
      <c r="G8">
        <v>555.58481500000005</v>
      </c>
      <c r="H8">
        <v>10.637877</v>
      </c>
      <c r="J8">
        <f t="shared" si="1"/>
        <v>4.0834503904888589E-5</v>
      </c>
      <c r="M8">
        <v>101.612903</v>
      </c>
      <c r="N8">
        <v>1.1677999999999999</v>
      </c>
      <c r="P8">
        <f t="shared" si="2"/>
        <v>0.32975345823324304</v>
      </c>
      <c r="Y8" t="s">
        <v>72</v>
      </c>
      <c r="Z8" t="s">
        <v>73</v>
      </c>
    </row>
    <row r="9" spans="1:30" x14ac:dyDescent="0.3">
      <c r="A9">
        <v>442.28490219775011</v>
      </c>
      <c r="B9">
        <v>0.90632299999999999</v>
      </c>
      <c r="D9">
        <f t="shared" si="0"/>
        <v>0.22335359157406126</v>
      </c>
      <c r="G9">
        <v>639.31566899999996</v>
      </c>
      <c r="H9">
        <v>12.837249</v>
      </c>
      <c r="J9">
        <f t="shared" si="1"/>
        <v>5.0537169788620796E-6</v>
      </c>
      <c r="M9">
        <v>153.22580600000001</v>
      </c>
      <c r="N9">
        <v>1.0770980000000001</v>
      </c>
      <c r="P9">
        <f t="shared" si="2"/>
        <v>0.35942738898855525</v>
      </c>
      <c r="Y9" t="s">
        <v>69</v>
      </c>
      <c r="AA9" t="s">
        <v>70</v>
      </c>
    </row>
    <row r="10" spans="1:30" x14ac:dyDescent="0.3">
      <c r="A10">
        <v>520.22977757451702</v>
      </c>
      <c r="B10">
        <v>0.91569100000000003</v>
      </c>
      <c r="D10">
        <f t="shared" si="0"/>
        <v>0.26124857618188885</v>
      </c>
      <c r="G10">
        <v>763.06498899999997</v>
      </c>
      <c r="H10">
        <v>16.500311</v>
      </c>
      <c r="J10">
        <f t="shared" si="1"/>
        <v>1.5570612039246559E-7</v>
      </c>
      <c r="M10">
        <v>241.935484</v>
      </c>
      <c r="N10">
        <v>2.2562359999999999</v>
      </c>
      <c r="P10">
        <f t="shared" si="2"/>
        <v>0.11725265828177024</v>
      </c>
      <c r="Y10" s="3">
        <v>5.0000000000000001E-4</v>
      </c>
      <c r="Z10">
        <v>2.9</v>
      </c>
    </row>
    <row r="11" spans="1:30" x14ac:dyDescent="0.3">
      <c r="A11">
        <v>600.51465301624762</v>
      </c>
      <c r="B11">
        <v>0.91803299999999999</v>
      </c>
      <c r="D11">
        <f t="shared" si="0"/>
        <v>0.27161914791998698</v>
      </c>
      <c r="G11">
        <v>908.611401</v>
      </c>
      <c r="H11">
        <v>21.441962</v>
      </c>
      <c r="J11">
        <f t="shared" si="1"/>
        <v>1.4239033477944609E-9</v>
      </c>
      <c r="M11">
        <v>332.25806499999999</v>
      </c>
      <c r="N11">
        <v>3.6167799999999999</v>
      </c>
      <c r="P11">
        <f t="shared" si="2"/>
        <v>3.2195100383908631E-2</v>
      </c>
    </row>
    <row r="12" spans="1:30" x14ac:dyDescent="0.3">
      <c r="A12">
        <v>655.71089301432528</v>
      </c>
      <c r="B12">
        <v>0.89695599999999998</v>
      </c>
      <c r="D12">
        <f t="shared" si="0"/>
        <v>0.19064796041872664</v>
      </c>
      <c r="G12">
        <v>1054.0987090000001</v>
      </c>
      <c r="H12">
        <v>27.294359</v>
      </c>
      <c r="J12">
        <f t="shared" si="1"/>
        <v>5.4815070152067745E-12</v>
      </c>
      <c r="M12" s="2">
        <v>350</v>
      </c>
      <c r="N12" s="2">
        <v>3.85</v>
      </c>
      <c r="O12" s="2"/>
      <c r="P12" s="2">
        <f t="shared" si="2"/>
        <v>2.5796924489331775E-2</v>
      </c>
      <c r="Y12" t="s">
        <v>71</v>
      </c>
    </row>
    <row r="13" spans="1:30" x14ac:dyDescent="0.3">
      <c r="A13">
        <v>728.22334549521463</v>
      </c>
      <c r="B13">
        <v>0.85480100000000003</v>
      </c>
      <c r="D13">
        <f t="shared" si="0"/>
        <v>9.1542533687605163E-2</v>
      </c>
      <c r="G13">
        <v>1195.8920969999999</v>
      </c>
      <c r="H13">
        <v>33.874763000000002</v>
      </c>
      <c r="J13">
        <f t="shared" si="1"/>
        <v>1.0567164925230109E-14</v>
      </c>
      <c r="M13">
        <v>425.80645199999998</v>
      </c>
      <c r="N13">
        <v>5.2494329999999998</v>
      </c>
      <c r="P13">
        <f t="shared" si="2"/>
        <v>6.8263759761787749E-3</v>
      </c>
      <c r="Y13" s="3">
        <v>3.4999999999999997E-5</v>
      </c>
      <c r="Z13">
        <v>3.6</v>
      </c>
    </row>
    <row r="14" spans="1:30" x14ac:dyDescent="0.3">
      <c r="A14">
        <v>774.33195994685741</v>
      </c>
      <c r="B14">
        <v>0.87587800000000005</v>
      </c>
      <c r="D14">
        <f t="shared" si="0"/>
        <v>0.13269077743991509</v>
      </c>
      <c r="G14">
        <v>1261.3424729999999</v>
      </c>
      <c r="H14">
        <v>36.799779999999998</v>
      </c>
      <c r="J14">
        <f t="shared" si="1"/>
        <v>6.563805148431242E-16</v>
      </c>
      <c r="M14">
        <v>466.129032</v>
      </c>
      <c r="N14">
        <v>6.5192740000000002</v>
      </c>
      <c r="P14">
        <f t="shared" si="2"/>
        <v>2.0430524304813724E-3</v>
      </c>
    </row>
    <row r="15" spans="1:30" x14ac:dyDescent="0.3">
      <c r="A15">
        <v>842.95437718843482</v>
      </c>
      <c r="B15">
        <v>0.89695599999999998</v>
      </c>
      <c r="D15">
        <f t="shared" si="0"/>
        <v>0.19064796041872664</v>
      </c>
      <c r="G15">
        <v>1341.2611999999999</v>
      </c>
      <c r="H15">
        <v>41.548653000000002</v>
      </c>
      <c r="J15">
        <f t="shared" si="1"/>
        <v>7.2088635959834446E-18</v>
      </c>
      <c r="M15" s="2">
        <v>500</v>
      </c>
      <c r="N15" s="2">
        <v>7.35</v>
      </c>
      <c r="O15" s="2"/>
      <c r="P15" s="2">
        <f t="shared" si="2"/>
        <v>9.2798034997329678E-4</v>
      </c>
      <c r="Y15" t="s">
        <v>74</v>
      </c>
      <c r="AA15" t="s">
        <v>76</v>
      </c>
      <c r="AC15" t="s">
        <v>79</v>
      </c>
    </row>
    <row r="16" spans="1:30" x14ac:dyDescent="0.3">
      <c r="A16">
        <v>905.35875350228571</v>
      </c>
      <c r="B16">
        <v>0.87119400000000002</v>
      </c>
      <c r="D16">
        <f t="shared" si="0"/>
        <v>0.12227866993128082</v>
      </c>
      <c r="G16">
        <v>1432.0607419999999</v>
      </c>
      <c r="H16">
        <v>47.210044000000003</v>
      </c>
      <c r="J16">
        <f t="shared" si="1"/>
        <v>3.3272963252794737E-20</v>
      </c>
      <c r="M16">
        <v>514.51612899999998</v>
      </c>
      <c r="N16">
        <v>7.6984130000000004</v>
      </c>
      <c r="P16">
        <f t="shared" si="2"/>
        <v>6.6648538271257428E-4</v>
      </c>
      <c r="Y16" t="s">
        <v>8</v>
      </c>
      <c r="Z16" t="s">
        <v>75</v>
      </c>
      <c r="AA16" t="s">
        <v>77</v>
      </c>
      <c r="AB16" t="s">
        <v>78</v>
      </c>
      <c r="AC16" t="s">
        <v>77</v>
      </c>
      <c r="AD16" t="s">
        <v>80</v>
      </c>
    </row>
    <row r="17" spans="1:30" x14ac:dyDescent="0.3">
      <c r="A17">
        <v>1000.5977920128705</v>
      </c>
      <c r="B17">
        <v>0.85948500000000005</v>
      </c>
      <c r="D17">
        <f t="shared" si="0"/>
        <v>9.9492814620558395E-2</v>
      </c>
      <c r="G17">
        <v>1515.4960819999999</v>
      </c>
      <c r="H17">
        <v>53.963151000000003</v>
      </c>
      <c r="J17">
        <f t="shared" si="1"/>
        <v>5.4437256514910257E-23</v>
      </c>
      <c r="M17">
        <v>567.74193500000001</v>
      </c>
      <c r="N17">
        <v>8.9682539999999999</v>
      </c>
      <c r="P17">
        <f t="shared" si="2"/>
        <v>1.9947107891257076E-4</v>
      </c>
      <c r="Y17">
        <v>60</v>
      </c>
      <c r="Z17">
        <f>(Data!Y17*1000000000)/100/299792000</f>
        <v>2.0013876287559373</v>
      </c>
      <c r="AA17" s="3">
        <f>$Y$10*Z17^$Z$10</f>
        <v>3.7396461964953024E-3</v>
      </c>
      <c r="AB17">
        <f>EXP(-2.54*0.375*AA17)</f>
        <v>0.99644432344042233</v>
      </c>
      <c r="AC17" s="3">
        <f>$Y$13*Z17^$Z$13</f>
        <v>4.2546163404243479E-4</v>
      </c>
      <c r="AD17">
        <f>EXP(-2.54*0.375*AC17)</f>
        <v>0.99959482989715875</v>
      </c>
    </row>
    <row r="18" spans="1:30" x14ac:dyDescent="0.3">
      <c r="A18">
        <v>1076.0618706968251</v>
      </c>
      <c r="B18">
        <v>0.94613599999999998</v>
      </c>
      <c r="D18">
        <f t="shared" si="0"/>
        <v>0.43006328554534906</v>
      </c>
      <c r="G18">
        <v>1606.189239</v>
      </c>
      <c r="H18">
        <v>61.263885999999999</v>
      </c>
      <c r="J18">
        <f t="shared" si="1"/>
        <v>5.2937173822732085E-26</v>
      </c>
      <c r="M18">
        <v>603.22580600000003</v>
      </c>
      <c r="N18">
        <v>9.9659859999999991</v>
      </c>
      <c r="P18">
        <f t="shared" si="2"/>
        <v>7.7310042105503088E-5</v>
      </c>
      <c r="Y18">
        <v>70</v>
      </c>
      <c r="Z18">
        <f>(Data!Y18*1000000000)/100/299792000</f>
        <v>2.3349522335485937</v>
      </c>
      <c r="AA18" s="3">
        <f t="shared" ref="AA18:AA43" si="3">$Y$10*Z18^$Z$10</f>
        <v>5.8475804569309668E-3</v>
      </c>
      <c r="AB18">
        <f t="shared" ref="AB18:AB43" si="4">EXP(-2.54*0.375*AA18)</f>
        <v>0.99444566230572862</v>
      </c>
      <c r="AC18" s="3">
        <f t="shared" ref="AC18:AC43" si="5">$Y$13*Z18^$Z$13</f>
        <v>7.4108640509444547E-4</v>
      </c>
      <c r="AD18">
        <f t="shared" ref="AD18:AD43" si="6">EXP(-2.54*0.375*AC18)</f>
        <v>0.9992943642772133</v>
      </c>
    </row>
    <row r="19" spans="1:30" x14ac:dyDescent="0.3">
      <c r="A19">
        <v>1213.3233073923334</v>
      </c>
      <c r="B19">
        <v>0.97189700000000001</v>
      </c>
      <c r="D19">
        <f t="shared" si="0"/>
        <v>0.64763823648523067</v>
      </c>
      <c r="G19">
        <v>1689.530015</v>
      </c>
      <c r="H19">
        <v>69.474187999999998</v>
      </c>
      <c r="J19">
        <f t="shared" si="1"/>
        <v>2.1694834480170614E-29</v>
      </c>
      <c r="M19">
        <v>633.87096799999995</v>
      </c>
      <c r="N19">
        <v>10.419501</v>
      </c>
      <c r="P19">
        <f t="shared" si="2"/>
        <v>5.0248696583415452E-5</v>
      </c>
      <c r="Y19">
        <v>80</v>
      </c>
      <c r="Z19">
        <f>(Data!Y19*1000000000)/100/299792000</f>
        <v>2.6685168383412501</v>
      </c>
      <c r="AA19" s="3">
        <f t="shared" si="3"/>
        <v>8.6129683678436344E-3</v>
      </c>
      <c r="AB19">
        <f t="shared" si="4"/>
        <v>0.99182970739067122</v>
      </c>
      <c r="AC19" s="3">
        <f t="shared" si="5"/>
        <v>1.1985050146991036E-3</v>
      </c>
      <c r="AD19">
        <f t="shared" si="6"/>
        <v>0.99885907532353246</v>
      </c>
    </row>
    <row r="20" spans="1:30" x14ac:dyDescent="0.3">
      <c r="A20">
        <v>1326.0934590275363</v>
      </c>
      <c r="B20">
        <v>0.93911</v>
      </c>
      <c r="D20">
        <f t="shared" si="0"/>
        <v>0.3838830425032535</v>
      </c>
      <c r="G20">
        <v>1751.1682639999999</v>
      </c>
      <c r="H20">
        <v>74.948706000000001</v>
      </c>
      <c r="J20">
        <f t="shared" si="1"/>
        <v>1.1958619026086233E-31</v>
      </c>
      <c r="M20">
        <v>690.32258100000001</v>
      </c>
      <c r="N20">
        <v>12.414966</v>
      </c>
      <c r="P20">
        <f t="shared" si="2"/>
        <v>7.5480772198917642E-6</v>
      </c>
      <c r="Y20">
        <v>90</v>
      </c>
      <c r="Z20">
        <f>(Data!Y20*1000000000)/100/299792000</f>
        <v>3.002081443133906</v>
      </c>
      <c r="AA20" s="3">
        <f t="shared" si="3"/>
        <v>1.2119792022057638E-2</v>
      </c>
      <c r="AB20">
        <f t="shared" si="4"/>
        <v>0.98852227557502848</v>
      </c>
      <c r="AC20" s="3">
        <f t="shared" si="5"/>
        <v>1.8314241484522675E-3</v>
      </c>
      <c r="AD20">
        <f t="shared" si="6"/>
        <v>0.99825708913488698</v>
      </c>
    </row>
    <row r="21" spans="1:30" x14ac:dyDescent="0.3">
      <c r="A21">
        <v>1368.4907628904855</v>
      </c>
      <c r="B21">
        <v>0.88758800000000004</v>
      </c>
      <c r="D21">
        <f t="shared" si="0"/>
        <v>0.16245836261504293</v>
      </c>
      <c r="G21">
        <v>1805.4895939999999</v>
      </c>
      <c r="H21">
        <v>80.786342000000005</v>
      </c>
      <c r="J21">
        <f t="shared" si="1"/>
        <v>4.6686421152979276E-34</v>
      </c>
      <c r="M21" s="2">
        <v>700</v>
      </c>
      <c r="N21" s="2">
        <v>24</v>
      </c>
      <c r="O21" s="2"/>
      <c r="P21" s="2">
        <f t="shared" si="2"/>
        <v>1.2533888086068391E-10</v>
      </c>
      <c r="Y21">
        <v>100</v>
      </c>
      <c r="Z21">
        <f>(Data!Y21*1000000000)/100/299792000</f>
        <v>3.3356460479265624</v>
      </c>
      <c r="AA21" s="3">
        <f t="shared" si="3"/>
        <v>1.6450984377613265E-2</v>
      </c>
      <c r="AB21">
        <f t="shared" si="4"/>
        <v>0.98445256624261845</v>
      </c>
      <c r="AC21" s="3">
        <f t="shared" si="5"/>
        <v>2.6761835838971411E-3</v>
      </c>
      <c r="AD21">
        <f t="shared" si="6"/>
        <v>0.99745418124341256</v>
      </c>
    </row>
    <row r="22" spans="1:30" x14ac:dyDescent="0.3">
      <c r="A22">
        <v>1800.1408876401704</v>
      </c>
      <c r="B22">
        <v>0.87353599999999998</v>
      </c>
      <c r="D22">
        <f t="shared" si="0"/>
        <v>0.12738535745983476</v>
      </c>
      <c r="G22">
        <v>1834.4735780000001</v>
      </c>
      <c r="H22">
        <v>83.705455000000001</v>
      </c>
      <c r="J22">
        <f t="shared" si="1"/>
        <v>2.9162425940120296E-35</v>
      </c>
      <c r="M22">
        <v>750</v>
      </c>
      <c r="N22">
        <v>14.410431000000001</v>
      </c>
      <c r="P22">
        <f t="shared" si="2"/>
        <v>1.1338298023884054E-6</v>
      </c>
      <c r="Y22">
        <v>110</v>
      </c>
      <c r="Z22">
        <f>(Data!Y22*1000000000)/100/299792000</f>
        <v>3.6692106527192188</v>
      </c>
      <c r="AA22" s="3">
        <f t="shared" si="3"/>
        <v>2.1688557936215779E-2</v>
      </c>
      <c r="AB22">
        <f t="shared" si="4"/>
        <v>0.97955357047982428</v>
      </c>
      <c r="AC22" s="3">
        <f t="shared" si="5"/>
        <v>3.7716342328828266E-3</v>
      </c>
      <c r="AD22">
        <f t="shared" si="6"/>
        <v>0.99641396363477941</v>
      </c>
    </row>
    <row r="23" spans="1:30" x14ac:dyDescent="0.3">
      <c r="A23">
        <v>2712.8883698695486</v>
      </c>
      <c r="B23">
        <v>0.86651100000000003</v>
      </c>
      <c r="D23">
        <f t="shared" si="0"/>
        <v>0.11263593885643061</v>
      </c>
      <c r="G23">
        <v>1863.4812039999999</v>
      </c>
      <c r="H23">
        <v>86.260270000000006</v>
      </c>
      <c r="J23">
        <f t="shared" si="1"/>
        <v>2.5748900850460722E-36</v>
      </c>
      <c r="M23">
        <v>822.580645</v>
      </c>
      <c r="N23">
        <v>16.950113000000002</v>
      </c>
      <c r="P23">
        <f t="shared" si="2"/>
        <v>1.0156088663383509E-7</v>
      </c>
      <c r="Y23">
        <v>120</v>
      </c>
      <c r="Z23">
        <f>(Data!Y23*1000000000)/100/299792000</f>
        <v>4.0027752575118747</v>
      </c>
      <c r="AA23" s="3">
        <f t="shared" si="3"/>
        <v>2.7913706224042049E-2</v>
      </c>
      <c r="AB23">
        <f t="shared" si="4"/>
        <v>0.97376253868826379</v>
      </c>
      <c r="AC23" s="3">
        <f t="shared" si="5"/>
        <v>5.1590339770616229E-3</v>
      </c>
      <c r="AD23">
        <f t="shared" si="6"/>
        <v>0.99509807398369376</v>
      </c>
    </row>
    <row r="24" spans="1:30" x14ac:dyDescent="0.3">
      <c r="A24">
        <v>3047.2075664911331</v>
      </c>
      <c r="B24">
        <v>0.89227199999999995</v>
      </c>
      <c r="D24">
        <f t="shared" si="0"/>
        <v>0.17602660604227047</v>
      </c>
      <c r="G24">
        <v>1892.5242909999999</v>
      </c>
      <c r="H24">
        <v>88.268636000000001</v>
      </c>
      <c r="J24">
        <f t="shared" si="1"/>
        <v>3.8207404571304996E-37</v>
      </c>
      <c r="M24">
        <v>882.25806499999999</v>
      </c>
      <c r="N24">
        <v>19.308389999999999</v>
      </c>
      <c r="P24">
        <f t="shared" si="2"/>
        <v>1.0808094422218703E-8</v>
      </c>
      <c r="Y24">
        <v>140</v>
      </c>
      <c r="Z24">
        <f>(Data!Y24*1000000000)/100/299792000</f>
        <v>4.6699044670971874</v>
      </c>
      <c r="AA24" s="3">
        <f t="shared" si="3"/>
        <v>4.3647883895859788E-2</v>
      </c>
      <c r="AB24">
        <f t="shared" si="4"/>
        <v>0.95927776152287836</v>
      </c>
      <c r="AC24" s="3">
        <f t="shared" si="5"/>
        <v>8.9862155313382933E-3</v>
      </c>
      <c r="AD24">
        <f t="shared" si="6"/>
        <v>0.99147715682563886</v>
      </c>
    </row>
    <row r="25" spans="1:30" x14ac:dyDescent="0.3">
      <c r="A25">
        <v>3140.173209268542</v>
      </c>
      <c r="B25">
        <v>0.92037500000000005</v>
      </c>
      <c r="D25">
        <f t="shared" si="0"/>
        <v>0.2823733833526183</v>
      </c>
      <c r="G25">
        <v>1925.190376</v>
      </c>
      <c r="H25">
        <v>90.641891999999999</v>
      </c>
      <c r="J25">
        <f t="shared" si="1"/>
        <v>4.0085762715489404E-38</v>
      </c>
      <c r="M25">
        <v>930.64516100000003</v>
      </c>
      <c r="N25">
        <v>21.031745999999998</v>
      </c>
      <c r="P25">
        <f t="shared" si="2"/>
        <v>2.1024580010507299E-9</v>
      </c>
      <c r="Y25">
        <v>160</v>
      </c>
      <c r="Z25">
        <f>(Data!Y25*1000000000)/100/299792000</f>
        <v>5.3370336766825002</v>
      </c>
      <c r="AA25" s="3">
        <f t="shared" si="3"/>
        <v>6.4289469138088307E-2</v>
      </c>
      <c r="AB25">
        <f t="shared" si="4"/>
        <v>0.9406014956653902</v>
      </c>
      <c r="AC25" s="3">
        <f t="shared" si="5"/>
        <v>1.4532751246601767E-2</v>
      </c>
      <c r="AD25">
        <f t="shared" si="6"/>
        <v>0.98625292054666869</v>
      </c>
    </row>
    <row r="26" spans="1:30" x14ac:dyDescent="0.3">
      <c r="A26">
        <v>3238.9898707854913</v>
      </c>
      <c r="B26">
        <v>0.9274</v>
      </c>
      <c r="D26">
        <f t="shared" si="0"/>
        <v>0.3170665852490554</v>
      </c>
      <c r="G26">
        <v>1950.49226</v>
      </c>
      <c r="H26">
        <v>94.106863000000004</v>
      </c>
      <c r="J26">
        <f t="shared" si="1"/>
        <v>1.4907789621947328E-39</v>
      </c>
      <c r="M26">
        <v>964.51612899999998</v>
      </c>
      <c r="N26">
        <v>23.117913999999999</v>
      </c>
      <c r="P26">
        <f t="shared" si="2"/>
        <v>2.8974546072764984E-10</v>
      </c>
      <c r="Y26">
        <v>180</v>
      </c>
      <c r="Z26">
        <f>(Data!Y26*1000000000)/100/299792000</f>
        <v>6.004162886267812</v>
      </c>
      <c r="AA26" s="3">
        <f t="shared" si="3"/>
        <v>9.0465326457154951E-2</v>
      </c>
      <c r="AB26">
        <f t="shared" si="4"/>
        <v>0.91743988333530213</v>
      </c>
      <c r="AC26" s="3">
        <f t="shared" si="5"/>
        <v>2.220735937693041E-2</v>
      </c>
      <c r="AD26">
        <f t="shared" si="6"/>
        <v>0.97906963546199233</v>
      </c>
    </row>
    <row r="27" spans="1:30" x14ac:dyDescent="0.3">
      <c r="A27">
        <v>3393.2274557477763</v>
      </c>
      <c r="B27">
        <v>0.90398100000000003</v>
      </c>
      <c r="D27">
        <f t="shared" si="0"/>
        <v>0.21471766231038761</v>
      </c>
      <c r="G27">
        <v>1982.957396</v>
      </c>
      <c r="H27">
        <v>99.576657999999995</v>
      </c>
      <c r="J27">
        <f t="shared" si="1"/>
        <v>8.2544199281405463E-42</v>
      </c>
      <c r="M27">
        <v>980.64516100000003</v>
      </c>
      <c r="N27">
        <v>23.480726000000001</v>
      </c>
      <c r="P27">
        <f t="shared" si="2"/>
        <v>2.0527107360585094E-10</v>
      </c>
      <c r="Y27">
        <v>200</v>
      </c>
      <c r="Z27">
        <f>(Data!Y27*1000000000)/100/299792000</f>
        <v>6.6712920958531248</v>
      </c>
      <c r="AA27" s="3">
        <f t="shared" si="3"/>
        <v>0.12279448934055831</v>
      </c>
      <c r="AB27">
        <f t="shared" si="4"/>
        <v>0.88961921947201039</v>
      </c>
      <c r="AC27" s="3">
        <f t="shared" si="5"/>
        <v>3.245068634508854E-2</v>
      </c>
      <c r="AD27">
        <f t="shared" si="6"/>
        <v>0.9695635291076512</v>
      </c>
    </row>
    <row r="28" spans="1:30" x14ac:dyDescent="0.3">
      <c r="A28">
        <v>3647.0515858591721</v>
      </c>
      <c r="B28">
        <v>0.89695599999999998</v>
      </c>
      <c r="D28">
        <f t="shared" si="0"/>
        <v>0.19064796041872664</v>
      </c>
      <c r="G28" t="s">
        <v>16</v>
      </c>
      <c r="M28">
        <v>998.38709700000004</v>
      </c>
      <c r="N28">
        <v>23.934239999999999</v>
      </c>
      <c r="P28">
        <f t="shared" si="2"/>
        <v>1.3341880838422832E-10</v>
      </c>
      <c r="Y28">
        <v>240</v>
      </c>
      <c r="Z28">
        <f>(Data!Y28*1000000000)/100/299792000</f>
        <v>8.0055505150237494</v>
      </c>
      <c r="AA28" s="3">
        <f t="shared" si="3"/>
        <v>0.20835527058478032</v>
      </c>
      <c r="AB28">
        <f t="shared" si="4"/>
        <v>0.81999388568610043</v>
      </c>
      <c r="AC28" s="3">
        <f t="shared" si="5"/>
        <v>6.2557066129778585E-2</v>
      </c>
      <c r="AD28">
        <f t="shared" si="6"/>
        <v>0.9421548765103811</v>
      </c>
    </row>
    <row r="29" spans="1:30" x14ac:dyDescent="0.3">
      <c r="A29">
        <v>3875.9460409976032</v>
      </c>
      <c r="B29">
        <v>0.88056199999999996</v>
      </c>
      <c r="D29">
        <f t="shared" si="0"/>
        <v>0.14392673837236949</v>
      </c>
      <c r="G29" t="s">
        <v>10</v>
      </c>
      <c r="H29" t="s">
        <v>11</v>
      </c>
      <c r="J29" t="s">
        <v>22</v>
      </c>
      <c r="Y29">
        <v>280</v>
      </c>
      <c r="Z29">
        <f>(Data!Y29*1000000000)/100/299792000</f>
        <v>9.3398089341943749</v>
      </c>
      <c r="AA29" s="3">
        <f t="shared" si="3"/>
        <v>0.32579932548484242</v>
      </c>
      <c r="AB29">
        <f t="shared" si="4"/>
        <v>0.73320946236799389</v>
      </c>
      <c r="AC29" s="3">
        <f t="shared" si="5"/>
        <v>0.10896444600865997</v>
      </c>
      <c r="AD29">
        <f t="shared" si="6"/>
        <v>0.90141580519813269</v>
      </c>
    </row>
    <row r="30" spans="1:30" x14ac:dyDescent="0.3">
      <c r="A30">
        <v>4496.8499775157497</v>
      </c>
      <c r="B30">
        <v>0.84074899999999997</v>
      </c>
      <c r="D30">
        <f t="shared" si="0"/>
        <v>7.1107484895877093E-2</v>
      </c>
      <c r="G30">
        <v>172.924115</v>
      </c>
      <c r="H30">
        <v>6.9328940000000001</v>
      </c>
      <c r="J30">
        <f>EXP(-0.95*H30)</f>
        <v>1.379203252233078E-3</v>
      </c>
      <c r="N30" t="s">
        <v>48</v>
      </c>
      <c r="T30" t="s">
        <v>49</v>
      </c>
      <c r="Y30">
        <v>320</v>
      </c>
      <c r="Z30">
        <f>(Data!Y30*1000000000)/100/299792000</f>
        <v>10.674067353365</v>
      </c>
      <c r="AA30" s="3">
        <f t="shared" si="3"/>
        <v>0.47987356571379047</v>
      </c>
      <c r="AB30">
        <f t="shared" si="4"/>
        <v>0.63312995905759761</v>
      </c>
      <c r="AC30" s="3">
        <f t="shared" si="5"/>
        <v>0.17622025457159157</v>
      </c>
      <c r="AD30">
        <f t="shared" si="6"/>
        <v>0.84548082272520242</v>
      </c>
    </row>
    <row r="31" spans="1:30" x14ac:dyDescent="0.3">
      <c r="A31">
        <v>4901.3285348631034</v>
      </c>
      <c r="B31">
        <v>0.83372400000000002</v>
      </c>
      <c r="D31">
        <f t="shared" si="0"/>
        <v>6.2571981077750749E-2</v>
      </c>
      <c r="G31">
        <v>231.18759700000001</v>
      </c>
      <c r="H31">
        <v>8.2173870000000004</v>
      </c>
      <c r="J31">
        <f t="shared" ref="J31:J56" si="7">EXP(-0.95*H31)</f>
        <v>4.070731536398048E-4</v>
      </c>
      <c r="N31" t="s">
        <v>41</v>
      </c>
      <c r="O31">
        <v>1.2999999999999999E-2</v>
      </c>
      <c r="P31" t="s">
        <v>42</v>
      </c>
      <c r="Q31">
        <f>EXP(-2*PI()*O31/(O32/R32)*O33)</f>
        <v>0.68018685023761927</v>
      </c>
      <c r="Y31">
        <v>360</v>
      </c>
      <c r="Z31">
        <f>(Data!Y31*1000000000)/100/299792000</f>
        <v>12.008325772535624</v>
      </c>
      <c r="AA31" s="3">
        <f t="shared" si="3"/>
        <v>0.6752570733973855</v>
      </c>
      <c r="AB31">
        <f t="shared" si="4"/>
        <v>0.52561705568174377</v>
      </c>
      <c r="AC31" s="3">
        <f t="shared" si="5"/>
        <v>0.26928050004850773</v>
      </c>
      <c r="AD31">
        <f t="shared" si="6"/>
        <v>0.7737629826180803</v>
      </c>
    </row>
    <row r="32" spans="1:30" x14ac:dyDescent="0.3">
      <c r="A32">
        <v>5146.3950162969177</v>
      </c>
      <c r="B32">
        <v>0.88758800000000004</v>
      </c>
      <c r="D32">
        <f t="shared" si="0"/>
        <v>0.16245836261504293</v>
      </c>
      <c r="G32">
        <v>304.00217500000002</v>
      </c>
      <c r="H32">
        <v>10.050689</v>
      </c>
      <c r="J32">
        <f t="shared" si="7"/>
        <v>7.1332782757009452E-5</v>
      </c>
      <c r="N32" t="s">
        <v>43</v>
      </c>
      <c r="O32">
        <v>3.3</v>
      </c>
      <c r="P32" t="s">
        <v>44</v>
      </c>
      <c r="Q32" t="s">
        <v>45</v>
      </c>
      <c r="R32">
        <v>1.73</v>
      </c>
      <c r="Y32">
        <v>400</v>
      </c>
      <c r="Z32">
        <f>(Data!Y32*1000000000)/100/299792000</f>
        <v>13.34258419170625</v>
      </c>
      <c r="AA32" s="3">
        <f t="shared" si="3"/>
        <v>0.91657047786924617</v>
      </c>
      <c r="AB32">
        <f t="shared" si="4"/>
        <v>0.4176826354477296</v>
      </c>
      <c r="AC32" s="3">
        <f t="shared" si="5"/>
        <v>0.39348834310306824</v>
      </c>
      <c r="AD32">
        <f t="shared" si="6"/>
        <v>0.68742836804406526</v>
      </c>
    </row>
    <row r="33" spans="1:30" x14ac:dyDescent="0.3">
      <c r="A33">
        <v>5417.2578776297123</v>
      </c>
      <c r="B33">
        <v>0.87822</v>
      </c>
      <c r="D33">
        <f t="shared" si="0"/>
        <v>0.13820210113043974</v>
      </c>
      <c r="G33">
        <v>380.41611</v>
      </c>
      <c r="H33">
        <v>12.613179000000001</v>
      </c>
      <c r="J33">
        <f t="shared" si="7"/>
        <v>6.2525570492872335E-6</v>
      </c>
      <c r="N33" t="s">
        <v>46</v>
      </c>
      <c r="O33">
        <v>9</v>
      </c>
      <c r="P33" t="s">
        <v>44</v>
      </c>
      <c r="Q33" t="s">
        <v>47</v>
      </c>
      <c r="Y33">
        <v>440</v>
      </c>
      <c r="Z33">
        <f>(Data!Y33*1000000000)/100/299792000</f>
        <v>14.676842610876875</v>
      </c>
      <c r="AA33" s="3">
        <f t="shared" si="3"/>
        <v>1.2083831250210093</v>
      </c>
      <c r="AB33">
        <f t="shared" si="4"/>
        <v>0.31632505893903917</v>
      </c>
      <c r="AC33" s="3">
        <f t="shared" si="5"/>
        <v>0.55455616498726479</v>
      </c>
      <c r="AD33">
        <f t="shared" si="6"/>
        <v>0.58965671691581867</v>
      </c>
    </row>
    <row r="34" spans="1:30" x14ac:dyDescent="0.3">
      <c r="A34">
        <v>5718.216717495261</v>
      </c>
      <c r="B34">
        <v>0.73302100000000003</v>
      </c>
      <c r="D34">
        <f t="shared" si="0"/>
        <v>8.7978021484901928E-3</v>
      </c>
      <c r="G34">
        <v>467.66357699999998</v>
      </c>
      <c r="H34">
        <v>16.816784999999999</v>
      </c>
      <c r="J34">
        <f t="shared" si="7"/>
        <v>1.1527494338311755E-7</v>
      </c>
      <c r="Y34">
        <v>480</v>
      </c>
      <c r="Z34">
        <f>(Data!Y34*1000000000)/100/299792000</f>
        <v>16.011101030047499</v>
      </c>
      <c r="AA34" s="3">
        <f t="shared" si="3"/>
        <v>1.5552187313294288</v>
      </c>
      <c r="AB34">
        <f t="shared" si="4"/>
        <v>0.22733153018147562</v>
      </c>
      <c r="AC34" s="3">
        <f t="shared" si="5"/>
        <v>0.75855025188153635</v>
      </c>
      <c r="AD34">
        <f t="shared" si="6"/>
        <v>0.48552761424525098</v>
      </c>
    </row>
    <row r="35" spans="1:30" x14ac:dyDescent="0.3">
      <c r="A35">
        <v>5826.1075108940477</v>
      </c>
      <c r="B35">
        <v>0.59016400000000002</v>
      </c>
      <c r="D35">
        <f t="shared" si="0"/>
        <v>3.233137401009781E-4</v>
      </c>
      <c r="G35">
        <v>554.946505</v>
      </c>
      <c r="H35">
        <v>20.473942999999998</v>
      </c>
      <c r="J35">
        <f t="shared" si="7"/>
        <v>3.5716225450300066E-9</v>
      </c>
      <c r="Y35">
        <v>520</v>
      </c>
      <c r="Z35">
        <f>(Data!Y35*1000000000)/100/299792000</f>
        <v>17.345359449218126</v>
      </c>
      <c r="AA35" s="3">
        <f t="shared" si="3"/>
        <v>1.9615599532990842</v>
      </c>
      <c r="AB35">
        <f t="shared" si="4"/>
        <v>0.15437264056326941</v>
      </c>
      <c r="AC35" s="3">
        <f t="shared" si="5"/>
        <v>1.0118775007949612</v>
      </c>
      <c r="AD35">
        <f t="shared" si="6"/>
        <v>0.38143557342898227</v>
      </c>
    </row>
    <row r="36" spans="1:30" x14ac:dyDescent="0.3">
      <c r="A36">
        <v>5938.1480643616105</v>
      </c>
      <c r="B36">
        <v>0.43091299999999999</v>
      </c>
      <c r="D36">
        <f t="shared" si="0"/>
        <v>2.6797695478815821E-6</v>
      </c>
      <c r="G36">
        <v>649.46361000000002</v>
      </c>
      <c r="H36">
        <v>25.043028</v>
      </c>
      <c r="J36">
        <f t="shared" si="7"/>
        <v>4.6532198597791417E-11</v>
      </c>
      <c r="Y36">
        <v>560</v>
      </c>
      <c r="Z36">
        <f>(Data!Y36*1000000000)/100/299792000</f>
        <v>18.67961786838875</v>
      </c>
      <c r="AA36" s="3">
        <f t="shared" si="3"/>
        <v>2.431852154382371</v>
      </c>
      <c r="AB36">
        <f t="shared" si="4"/>
        <v>9.8634007119155834E-2</v>
      </c>
      <c r="AC36" s="3">
        <f t="shared" si="5"/>
        <v>1.3212737278076303</v>
      </c>
      <c r="AD36">
        <f t="shared" si="6"/>
        <v>0.28407606966975013</v>
      </c>
    </row>
    <row r="37" spans="1:30" x14ac:dyDescent="0.3">
      <c r="A37">
        <v>6134.7754861255526</v>
      </c>
      <c r="B37">
        <v>0.274005</v>
      </c>
      <c r="D37">
        <f t="shared" si="0"/>
        <v>2.7004699846883172E-9</v>
      </c>
      <c r="G37">
        <v>754.86152900000002</v>
      </c>
      <c r="H37">
        <v>30.524630999999999</v>
      </c>
      <c r="J37">
        <f t="shared" si="7"/>
        <v>2.5477401712986411E-13</v>
      </c>
      <c r="Y37">
        <v>600</v>
      </c>
      <c r="Z37">
        <f>(Data!Y37*1000000000)/100/299792000</f>
        <v>20.013876287559373</v>
      </c>
      <c r="AA37" s="3">
        <f t="shared" si="3"/>
        <v>2.9705065617554838</v>
      </c>
      <c r="AB37">
        <f t="shared" si="4"/>
        <v>5.9047829141451395E-2</v>
      </c>
      <c r="AC37" s="3">
        <f t="shared" si="5"/>
        <v>1.6937932730770111</v>
      </c>
      <c r="AD37">
        <f t="shared" si="6"/>
        <v>0.19922148313053933</v>
      </c>
    </row>
    <row r="38" spans="1:30" x14ac:dyDescent="0.3">
      <c r="A38">
        <v>6344.8705396881815</v>
      </c>
      <c r="B38">
        <v>0.494145</v>
      </c>
      <c r="D38">
        <f t="shared" si="0"/>
        <v>2.1594399770671574E-5</v>
      </c>
      <c r="G38">
        <v>849.39045399999998</v>
      </c>
      <c r="H38">
        <v>34.911568000000003</v>
      </c>
      <c r="J38">
        <f t="shared" si="7"/>
        <v>3.9463330063768382E-15</v>
      </c>
      <c r="Y38">
        <v>650</v>
      </c>
      <c r="Z38">
        <f>(Data!Y38*1000000000)/100/299792000</f>
        <v>21.681699311522657</v>
      </c>
      <c r="AA38" s="3">
        <f t="shared" si="3"/>
        <v>3.7466284292826355</v>
      </c>
      <c r="AB38">
        <f t="shared" si="4"/>
        <v>2.8193506912163172E-2</v>
      </c>
      <c r="AC38" s="3">
        <f t="shared" si="5"/>
        <v>2.2594565090094387</v>
      </c>
      <c r="AD38">
        <f t="shared" si="6"/>
        <v>0.1162360403388966</v>
      </c>
    </row>
    <row r="39" spans="1:30" x14ac:dyDescent="0.3">
      <c r="A39">
        <v>6569.8659518554332</v>
      </c>
      <c r="B39">
        <v>0.67213100000000003</v>
      </c>
      <c r="D39">
        <f t="shared" si="0"/>
        <v>2.3463772435668466E-3</v>
      </c>
      <c r="G39">
        <v>962.06983100000002</v>
      </c>
      <c r="H39">
        <v>40.576501</v>
      </c>
      <c r="J39">
        <f t="shared" si="7"/>
        <v>1.8153361022911892E-17</v>
      </c>
      <c r="Y39">
        <v>700</v>
      </c>
      <c r="Z39">
        <f>(Data!Y39*1000000000)/100/299792000</f>
        <v>23.349522335485936</v>
      </c>
      <c r="AA39" s="3">
        <f t="shared" si="3"/>
        <v>4.6448982617621857</v>
      </c>
      <c r="AB39">
        <f t="shared" si="4"/>
        <v>1.1983008459441091E-2</v>
      </c>
      <c r="AC39" s="3">
        <f t="shared" si="5"/>
        <v>2.9503181186781271</v>
      </c>
      <c r="AD39">
        <f t="shared" si="6"/>
        <v>6.0194276373421479E-2</v>
      </c>
    </row>
    <row r="40" spans="1:30" x14ac:dyDescent="0.3">
      <c r="A40">
        <v>7017.811298243123</v>
      </c>
      <c r="B40">
        <v>0.79156899999999997</v>
      </c>
      <c r="D40">
        <f t="shared" si="0"/>
        <v>2.8377162837791063E-2</v>
      </c>
      <c r="G40">
        <v>1111.0619320000001</v>
      </c>
      <c r="H40">
        <v>48.615281000000003</v>
      </c>
      <c r="J40">
        <f t="shared" si="7"/>
        <v>8.7562698922242145E-21</v>
      </c>
      <c r="Y40">
        <v>750</v>
      </c>
      <c r="Z40">
        <f>(Data!Y40*1000000000)/100/299792000</f>
        <v>25.017345359449219</v>
      </c>
      <c r="AA40" s="3">
        <f t="shared" si="3"/>
        <v>5.6737416131103089</v>
      </c>
      <c r="AB40">
        <f t="shared" si="4"/>
        <v>4.4974761887329791E-3</v>
      </c>
      <c r="AC40" s="3">
        <f t="shared" si="5"/>
        <v>3.7821299838800719</v>
      </c>
      <c r="AD40">
        <f t="shared" si="6"/>
        <v>2.7256076016482274E-2</v>
      </c>
    </row>
    <row r="41" spans="1:30" x14ac:dyDescent="0.3">
      <c r="A41">
        <v>7351.9928623942806</v>
      </c>
      <c r="B41">
        <v>0.82669800000000004</v>
      </c>
      <c r="D41">
        <f t="shared" si="0"/>
        <v>5.500048981885737E-2</v>
      </c>
      <c r="G41">
        <v>1256.3837530000001</v>
      </c>
      <c r="H41">
        <v>57.017769000000001</v>
      </c>
      <c r="J41">
        <f t="shared" si="7"/>
        <v>2.9896660190730614E-24</v>
      </c>
      <c r="Y41">
        <v>800</v>
      </c>
      <c r="Z41">
        <f>(Data!Y41*1000000000)/100/299792000</f>
        <v>26.685168383412499</v>
      </c>
      <c r="AA41" s="3">
        <f t="shared" si="3"/>
        <v>6.8415239593653006</v>
      </c>
      <c r="AB41">
        <f t="shared" si="4"/>
        <v>1.4787597174545266E-3</v>
      </c>
      <c r="AC41" s="3">
        <f t="shared" si="5"/>
        <v>4.7713344029603775</v>
      </c>
      <c r="AD41">
        <f t="shared" si="6"/>
        <v>1.0623401539614812E-2</v>
      </c>
    </row>
    <row r="42" spans="1:30" x14ac:dyDescent="0.3">
      <c r="A42">
        <v>7784.4629970813521</v>
      </c>
      <c r="B42">
        <v>0.78454299999999999</v>
      </c>
      <c r="D42">
        <f t="shared" si="0"/>
        <v>2.4771898827694774E-2</v>
      </c>
      <c r="G42">
        <v>1368.956745</v>
      </c>
      <c r="H42">
        <v>64.322046999999998</v>
      </c>
      <c r="J42">
        <f t="shared" si="7"/>
        <v>2.897513225980318E-27</v>
      </c>
      <c r="Y42">
        <v>850</v>
      </c>
      <c r="Z42">
        <f>(Data!Y42*1000000000)/100/299792000</f>
        <v>28.352991407375782</v>
      </c>
      <c r="AA42" s="3">
        <f t="shared" si="3"/>
        <v>8.1565551036096657</v>
      </c>
      <c r="AB42">
        <f t="shared" si="4"/>
        <v>4.2258551208102023E-4</v>
      </c>
      <c r="AC42" s="3">
        <f t="shared" si="5"/>
        <v>5.9350452563494853</v>
      </c>
      <c r="AD42">
        <f t="shared" si="6"/>
        <v>3.5065220325112452E-3</v>
      </c>
    </row>
    <row r="43" spans="1:30" x14ac:dyDescent="0.3">
      <c r="A43">
        <v>7850.4331054013155</v>
      </c>
      <c r="B43">
        <v>0.69086700000000001</v>
      </c>
      <c r="D43">
        <f t="shared" si="0"/>
        <v>3.5675609147856305E-3</v>
      </c>
      <c r="G43">
        <v>1368.956745</v>
      </c>
      <c r="H43">
        <v>64.322046999999998</v>
      </c>
      <c r="J43">
        <f t="shared" si="7"/>
        <v>2.897513225980318E-27</v>
      </c>
      <c r="Y43">
        <v>900</v>
      </c>
      <c r="Z43">
        <f>(Data!Y43*1000000000)/100/299792000</f>
        <v>30.020814431339062</v>
      </c>
      <c r="AA43" s="3">
        <f t="shared" si="3"/>
        <v>9.6270930021064753</v>
      </c>
      <c r="AB43">
        <f t="shared" si="4"/>
        <v>1.0413670149304321E-4</v>
      </c>
      <c r="AC43" s="3">
        <f t="shared" si="5"/>
        <v>7.2910308582368115</v>
      </c>
      <c r="AD43">
        <f t="shared" si="6"/>
        <v>9.6372276540365362E-4</v>
      </c>
    </row>
    <row r="44" spans="1:30" x14ac:dyDescent="0.3">
      <c r="A44">
        <v>8055.2270601890086</v>
      </c>
      <c r="B44">
        <v>0.59719</v>
      </c>
      <c r="D44">
        <f t="shared" si="0"/>
        <v>3.8721743933159593E-4</v>
      </c>
      <c r="G44">
        <v>1485.2000169999999</v>
      </c>
      <c r="H44">
        <v>71.262617000000006</v>
      </c>
      <c r="J44">
        <f t="shared" si="7"/>
        <v>3.9672241350447368E-30</v>
      </c>
    </row>
    <row r="45" spans="1:30" x14ac:dyDescent="0.3">
      <c r="A45">
        <v>8577.3250762428888</v>
      </c>
      <c r="B45">
        <v>0.71897</v>
      </c>
      <c r="D45">
        <f t="shared" si="0"/>
        <v>6.5504648888514106E-3</v>
      </c>
      <c r="G45">
        <v>1543.298012</v>
      </c>
      <c r="H45">
        <v>75.097200000000001</v>
      </c>
      <c r="J45">
        <f t="shared" si="7"/>
        <v>1.0385213086615369E-31</v>
      </c>
    </row>
    <row r="46" spans="1:30" x14ac:dyDescent="0.3">
      <c r="A46">
        <v>8993.7000899369996</v>
      </c>
      <c r="B46">
        <v>0.82435599999999998</v>
      </c>
      <c r="D46">
        <f t="shared" si="0"/>
        <v>5.2673187660789142E-2</v>
      </c>
      <c r="G46">
        <v>1572.293817</v>
      </c>
      <c r="H46">
        <v>77.834164000000001</v>
      </c>
      <c r="J46">
        <f t="shared" si="7"/>
        <v>7.7125761965754186E-33</v>
      </c>
    </row>
    <row r="47" spans="1:30" x14ac:dyDescent="0.3">
      <c r="A47">
        <v>9452.5623509981488</v>
      </c>
      <c r="B47">
        <v>0.82669800000000004</v>
      </c>
      <c r="D47">
        <f t="shared" si="0"/>
        <v>5.500048981885737E-2</v>
      </c>
      <c r="G47">
        <v>1597.6311619999999</v>
      </c>
      <c r="H47">
        <v>80.752686999999995</v>
      </c>
      <c r="J47">
        <f t="shared" si="7"/>
        <v>4.8203209442876785E-34</v>
      </c>
    </row>
    <row r="48" spans="1:30" x14ac:dyDescent="0.3">
      <c r="A48">
        <v>10179.68248246391</v>
      </c>
      <c r="B48">
        <v>0.77517599999999998</v>
      </c>
      <c r="D48">
        <f t="shared" si="0"/>
        <v>2.0628176996487738E-2</v>
      </c>
      <c r="G48">
        <v>1633.872963</v>
      </c>
      <c r="H48">
        <v>84.219429000000005</v>
      </c>
      <c r="J48">
        <f t="shared" si="7"/>
        <v>1.7896511360412136E-35</v>
      </c>
    </row>
    <row r="49" spans="1:22" x14ac:dyDescent="0.3">
      <c r="A49">
        <v>10408.439324673209</v>
      </c>
      <c r="B49">
        <v>0.83606599999999998</v>
      </c>
      <c r="D49">
        <f t="shared" si="0"/>
        <v>6.5304960691619549E-2</v>
      </c>
      <c r="G49">
        <v>1662.9278710000001</v>
      </c>
      <c r="H49">
        <v>86.045647000000002</v>
      </c>
      <c r="J49">
        <f t="shared" si="7"/>
        <v>3.1572414825134604E-36</v>
      </c>
    </row>
    <row r="50" spans="1:22" x14ac:dyDescent="0.3">
      <c r="A50">
        <v>10898.248082718645</v>
      </c>
      <c r="B50">
        <v>0.88993</v>
      </c>
      <c r="D50">
        <f t="shared" si="0"/>
        <v>0.16911538279845204</v>
      </c>
      <c r="G50">
        <v>1688.4543450000001</v>
      </c>
      <c r="H50">
        <v>86.049779999999998</v>
      </c>
      <c r="J50">
        <f t="shared" si="7"/>
        <v>3.1448693519703067E-36</v>
      </c>
    </row>
    <row r="51" spans="1:22" x14ac:dyDescent="0.3">
      <c r="A51">
        <v>11579.388587888561</v>
      </c>
      <c r="B51">
        <v>0.79156899999999997</v>
      </c>
      <c r="D51">
        <f t="shared" si="0"/>
        <v>2.8377162837791063E-2</v>
      </c>
      <c r="G51">
        <v>1721.3213800000001</v>
      </c>
      <c r="H51">
        <v>85.326496000000006</v>
      </c>
      <c r="J51">
        <f t="shared" si="7"/>
        <v>6.2519420769038706E-36</v>
      </c>
    </row>
    <row r="52" spans="1:22" x14ac:dyDescent="0.3">
      <c r="A52">
        <v>11725.963310435129</v>
      </c>
      <c r="B52">
        <v>0.71662800000000004</v>
      </c>
      <c r="D52">
        <f t="shared" si="0"/>
        <v>6.232712557592255E-3</v>
      </c>
      <c r="G52">
        <v>1746.729648</v>
      </c>
      <c r="H52">
        <v>87.152123000000003</v>
      </c>
      <c r="J52">
        <f t="shared" si="7"/>
        <v>1.1035657165635715E-36</v>
      </c>
    </row>
    <row r="53" spans="1:22" x14ac:dyDescent="0.3">
      <c r="A53">
        <v>12351.34782708113</v>
      </c>
      <c r="B53">
        <v>0.77517599999999998</v>
      </c>
      <c r="D53">
        <f t="shared" si="0"/>
        <v>2.0628176996487738E-2</v>
      </c>
      <c r="G53">
        <v>1779.3011690000001</v>
      </c>
      <c r="H53">
        <v>90.982573000000002</v>
      </c>
      <c r="J53">
        <f t="shared" si="7"/>
        <v>2.900227504589171E-38</v>
      </c>
    </row>
    <row r="54" spans="1:22" x14ac:dyDescent="0.3">
      <c r="A54">
        <v>13622.810598627531</v>
      </c>
      <c r="B54">
        <v>0.63466</v>
      </c>
      <c r="D54">
        <f t="shared" si="0"/>
        <v>9.7887397314401232E-4</v>
      </c>
      <c r="G54">
        <v>1800.7200029999999</v>
      </c>
      <c r="H54">
        <v>98.089940999999996</v>
      </c>
      <c r="J54">
        <f t="shared" si="7"/>
        <v>3.389033788942284E-41</v>
      </c>
    </row>
    <row r="55" spans="1:22" x14ac:dyDescent="0.3">
      <c r="A55">
        <v>14035.622925047413</v>
      </c>
      <c r="B55">
        <v>0.4637</v>
      </c>
      <c r="D55">
        <f t="shared" si="0"/>
        <v>8.1931959462411825E-6</v>
      </c>
      <c r="G55">
        <v>1836.7017519999999</v>
      </c>
      <c r="H55">
        <v>105.563969</v>
      </c>
      <c r="J55">
        <f t="shared" si="7"/>
        <v>2.795395339147775E-44</v>
      </c>
    </row>
    <row r="56" spans="1:22" x14ac:dyDescent="0.3">
      <c r="A56">
        <v>14474.236014394379</v>
      </c>
      <c r="B56">
        <v>0.28103</v>
      </c>
      <c r="D56">
        <f t="shared" si="0"/>
        <v>3.9718322228417656E-9</v>
      </c>
      <c r="G56">
        <v>1861.9918150000001</v>
      </c>
      <c r="H56">
        <v>109.21109</v>
      </c>
      <c r="J56">
        <f t="shared" si="7"/>
        <v>8.7440964193243169E-46</v>
      </c>
    </row>
    <row r="57" spans="1:22" x14ac:dyDescent="0.3">
      <c r="A57">
        <v>14703.985364190825</v>
      </c>
      <c r="B57">
        <v>9.3676999999999996E-2</v>
      </c>
      <c r="D57">
        <f t="shared" si="0"/>
        <v>2.1266034998172032E-16</v>
      </c>
      <c r="K57" t="s">
        <v>23</v>
      </c>
    </row>
    <row r="58" spans="1:22" x14ac:dyDescent="0.3">
      <c r="A58">
        <v>15700.866210802631</v>
      </c>
      <c r="B58">
        <v>2.3418999999999999E-2</v>
      </c>
      <c r="D58">
        <f t="shared" si="0"/>
        <v>1.4197817915739761E-25</v>
      </c>
      <c r="G58" t="s">
        <v>13</v>
      </c>
      <c r="K58">
        <v>7.1999999999999995E-2</v>
      </c>
      <c r="L58">
        <v>0.128</v>
      </c>
      <c r="M58">
        <v>0.14499999999999999</v>
      </c>
      <c r="N58">
        <v>0.155</v>
      </c>
      <c r="P58" s="1" t="s">
        <v>50</v>
      </c>
    </row>
    <row r="59" spans="1:22" x14ac:dyDescent="0.3">
      <c r="A59">
        <v>17814.44419308483</v>
      </c>
      <c r="B59">
        <v>0.112412</v>
      </c>
      <c r="D59">
        <f t="shared" si="0"/>
        <v>3.4228286830535515E-15</v>
      </c>
      <c r="F59" t="s">
        <v>51</v>
      </c>
      <c r="G59" t="s">
        <v>10</v>
      </c>
      <c r="H59" t="s">
        <v>11</v>
      </c>
      <c r="J59" t="s">
        <v>22</v>
      </c>
      <c r="K59" t="s">
        <v>24</v>
      </c>
      <c r="L59" t="s">
        <v>25</v>
      </c>
      <c r="M59" t="s">
        <v>26</v>
      </c>
      <c r="N59" t="s">
        <v>27</v>
      </c>
      <c r="P59" t="s">
        <v>30</v>
      </c>
      <c r="Q59" t="s">
        <v>31</v>
      </c>
      <c r="S59" t="s">
        <v>32</v>
      </c>
    </row>
    <row r="60" spans="1:22" x14ac:dyDescent="0.3">
      <c r="A60">
        <v>21543.048225987932</v>
      </c>
      <c r="B60">
        <v>0.189696</v>
      </c>
      <c r="D60">
        <f t="shared" si="0"/>
        <v>9.9450406117631078E-12</v>
      </c>
      <c r="F60">
        <v>0.99399999999999999</v>
      </c>
      <c r="G60" s="1">
        <v>81</v>
      </c>
      <c r="H60" s="1">
        <f>LN(1/F60)/(K$58*2.54)</f>
        <v>3.2907219627968859E-2</v>
      </c>
      <c r="J60">
        <f t="shared" ref="J60:J63" si="8">EXP(-0.95*H60)</f>
        <v>0.96922174075012224</v>
      </c>
      <c r="P60">
        <f t="shared" ref="P60:P63" si="9">$V$60+$V$61*($G60/1000)+$V$62*($G60/1000)^2+$V$63*($G60/1000)^3+$V$64*($G60/1000)^4+$V$65*($G60/1000)^5+$V$66*($G60/1000)^6+$V$67*($G60/1000)^7</f>
        <v>7.1534801744029652E-2</v>
      </c>
      <c r="Q60">
        <f t="shared" ref="Q60:Q63" si="10">(H60-P60)^2</f>
        <v>1.4920901001330197E-3</v>
      </c>
      <c r="S60">
        <f>1/EXP((K$58*2.54)*$P60)</f>
        <v>0.98700291659494233</v>
      </c>
      <c r="U60" t="s">
        <v>33</v>
      </c>
      <c r="V60">
        <v>-0.32155821955985686</v>
      </c>
    </row>
    <row r="61" spans="1:22" x14ac:dyDescent="0.3">
      <c r="A61">
        <v>22593.929973664155</v>
      </c>
      <c r="B61">
        <v>6.7916000000000004E-2</v>
      </c>
      <c r="D61">
        <f t="shared" si="0"/>
        <v>1.5821760231989738E-18</v>
      </c>
      <c r="F61">
        <v>0.97599999999999998</v>
      </c>
      <c r="G61" s="1">
        <v>161</v>
      </c>
      <c r="H61" s="1">
        <f>LN(1/F61)/(K$58*2.54)</f>
        <v>0.13283405822968331</v>
      </c>
      <c r="J61">
        <f t="shared" si="8"/>
        <v>0.88144527978811349</v>
      </c>
      <c r="P61">
        <f t="shared" si="9"/>
        <v>0.41934276345697813</v>
      </c>
      <c r="Q61">
        <f t="shared" si="10"/>
        <v>8.2087238171020913E-2</v>
      </c>
      <c r="S61">
        <f t="shared" ref="S61:S116" si="11">1/EXP((K$58*2.54)*$P61)</f>
        <v>0.92617747541820927</v>
      </c>
      <c r="U61" t="s">
        <v>34</v>
      </c>
      <c r="V61">
        <v>5.1066829601748163</v>
      </c>
    </row>
    <row r="62" spans="1:22" x14ac:dyDescent="0.3">
      <c r="A62">
        <v>28071.244535850175</v>
      </c>
      <c r="B62">
        <v>7.0260000000000001E-3</v>
      </c>
      <c r="D62">
        <f t="shared" si="0"/>
        <v>1.5269757383864218E-33</v>
      </c>
      <c r="F62">
        <v>0.96</v>
      </c>
      <c r="G62" s="1">
        <v>197</v>
      </c>
      <c r="H62" s="1">
        <f>LN(1/F62)/(K$58*2.54)</f>
        <v>0.22321738036010064</v>
      </c>
      <c r="J62">
        <f t="shared" si="8"/>
        <v>0.80891898317743527</v>
      </c>
      <c r="P62">
        <f t="shared" si="9"/>
        <v>0.56276647970621074</v>
      </c>
      <c r="Q62">
        <f t="shared" si="10"/>
        <v>0.11529359086675454</v>
      </c>
      <c r="S62">
        <f t="shared" si="11"/>
        <v>0.90220028888373716</v>
      </c>
      <c r="U62" t="s">
        <v>35</v>
      </c>
      <c r="V62">
        <v>-3.1253973637699679</v>
      </c>
    </row>
    <row r="63" spans="1:22" x14ac:dyDescent="0.3">
      <c r="F63">
        <v>0.92300000000000004</v>
      </c>
      <c r="G63" s="1">
        <v>230</v>
      </c>
      <c r="H63" s="1">
        <f>LN(1/F63)/(K$58*2.54)</f>
        <v>0.43813453892872317</v>
      </c>
      <c r="J63">
        <f t="shared" si="8"/>
        <v>0.65953000453113664</v>
      </c>
      <c r="P63">
        <f t="shared" si="9"/>
        <v>0.68714571531307</v>
      </c>
      <c r="Q63">
        <f t="shared" si="10"/>
        <v>6.2006565964316293E-2</v>
      </c>
      <c r="S63">
        <f t="shared" si="11"/>
        <v>0.88191005342764084</v>
      </c>
      <c r="U63" t="s">
        <v>36</v>
      </c>
      <c r="V63">
        <v>-8.7992765369782677E-2</v>
      </c>
    </row>
    <row r="64" spans="1:22" x14ac:dyDescent="0.3">
      <c r="G64">
        <v>261.45551599999999</v>
      </c>
      <c r="H64">
        <v>1.2434289999999999</v>
      </c>
      <c r="J64">
        <f>EXP(-0.95*H64)</f>
        <v>0.30689256309180185</v>
      </c>
      <c r="K64">
        <f t="shared" ref="K64:N83" si="12">1/EXP((K$58*2.54)*$H64)</f>
        <v>0.79660343551585322</v>
      </c>
      <c r="L64">
        <f t="shared" si="12"/>
        <v>0.66746812912289921</v>
      </c>
      <c r="M64">
        <f t="shared" si="12"/>
        <v>0.63257600429905081</v>
      </c>
      <c r="N64">
        <f t="shared" si="12"/>
        <v>0.61290949462416877</v>
      </c>
      <c r="P64">
        <f t="shared" ref="P64:P95" si="13">$V$60+$V$61*($G64/1000)+$V$62*($G64/1000)^2+$V$63*($G64/1000)^3+$V$64*($G64/1000)^4+$V$65*($G64/1000)^5+$V$66*($G64/1000)^6+$V$67*($G64/1000)^7</f>
        <v>0.79943694608528226</v>
      </c>
      <c r="Q64">
        <f>(H64-P64)^2</f>
        <v>0.19712894393940952</v>
      </c>
      <c r="S64">
        <f t="shared" si="11"/>
        <v>0.86398400014514365</v>
      </c>
      <c r="U64" t="s">
        <v>37</v>
      </c>
      <c r="V64">
        <v>3.0640848461673437E-2</v>
      </c>
    </row>
    <row r="65" spans="7:22" x14ac:dyDescent="0.3">
      <c r="G65">
        <v>293.78926000000001</v>
      </c>
      <c r="H65">
        <v>1.430326</v>
      </c>
      <c r="J65">
        <f t="shared" ref="J65:J88" si="14">EXP(-0.95*H65)</f>
        <v>0.25696646216882801</v>
      </c>
      <c r="K65">
        <f t="shared" si="12"/>
        <v>0.76983581135352008</v>
      </c>
      <c r="L65">
        <f t="shared" si="12"/>
        <v>0.62811777573390082</v>
      </c>
      <c r="M65">
        <f t="shared" si="12"/>
        <v>0.59049797904361556</v>
      </c>
      <c r="N65">
        <f t="shared" si="12"/>
        <v>0.56943004116245888</v>
      </c>
      <c r="P65">
        <f t="shared" si="13"/>
        <v>0.90855318025115051</v>
      </c>
      <c r="Q65">
        <f t="shared" ref="Q65:Q116" si="15">(H65-P65)^2</f>
        <v>0.27224687542866538</v>
      </c>
      <c r="S65">
        <f t="shared" si="11"/>
        <v>0.84691393115399916</v>
      </c>
      <c r="U65" t="s">
        <v>38</v>
      </c>
      <c r="V65">
        <v>0.86557924094578609</v>
      </c>
    </row>
    <row r="66" spans="7:22" x14ac:dyDescent="0.3">
      <c r="G66">
        <v>322.35112099999998</v>
      </c>
      <c r="H66">
        <v>1.2838989999999999</v>
      </c>
      <c r="J66">
        <f t="shared" si="14"/>
        <v>0.29531755322226511</v>
      </c>
      <c r="K66">
        <f t="shared" si="12"/>
        <v>0.79072941520803275</v>
      </c>
      <c r="L66">
        <f t="shared" si="12"/>
        <v>0.65874337053578336</v>
      </c>
      <c r="M66">
        <f t="shared" si="12"/>
        <v>0.62321731443511308</v>
      </c>
      <c r="N66">
        <f t="shared" si="12"/>
        <v>0.60322136933471004</v>
      </c>
      <c r="P66">
        <f t="shared" si="13"/>
        <v>0.9996855637275357</v>
      </c>
      <c r="Q66">
        <f t="shared" si="15"/>
        <v>8.0777277357802074E-2</v>
      </c>
      <c r="S66">
        <f t="shared" si="11"/>
        <v>0.83291598862375482</v>
      </c>
      <c r="U66" t="s">
        <v>39</v>
      </c>
      <c r="V66">
        <v>-0.50383451914619437</v>
      </c>
    </row>
    <row r="67" spans="7:22" x14ac:dyDescent="0.3">
      <c r="G67">
        <v>347.31827199999998</v>
      </c>
      <c r="H67">
        <v>1.1130930000000001</v>
      </c>
      <c r="J67">
        <f t="shared" si="14"/>
        <v>0.34734444655814667</v>
      </c>
      <c r="K67">
        <f t="shared" si="12"/>
        <v>0.81581925658149801</v>
      </c>
      <c r="L67">
        <f t="shared" si="12"/>
        <v>0.69635980142017506</v>
      </c>
      <c r="M67">
        <f t="shared" si="12"/>
        <v>0.66368200529955901</v>
      </c>
      <c r="N67">
        <f t="shared" si="12"/>
        <v>0.6451807853468956</v>
      </c>
      <c r="P67">
        <f t="shared" si="13"/>
        <v>1.0753674047717212</v>
      </c>
      <c r="Q67">
        <f t="shared" si="15"/>
        <v>1.4232205353279395E-3</v>
      </c>
      <c r="S67">
        <f t="shared" si="11"/>
        <v>0.82146726430456762</v>
      </c>
      <c r="U67" t="s">
        <v>40</v>
      </c>
      <c r="V67">
        <v>7.9475374377031768E-2</v>
      </c>
    </row>
    <row r="68" spans="7:22" x14ac:dyDescent="0.3">
      <c r="G68">
        <v>379.52146800000003</v>
      </c>
      <c r="H68">
        <v>1.0723469999999999</v>
      </c>
      <c r="J68">
        <f t="shared" si="14"/>
        <v>0.36105331304067029</v>
      </c>
      <c r="K68">
        <f t="shared" si="12"/>
        <v>0.82192114485577861</v>
      </c>
      <c r="L68">
        <f t="shared" si="12"/>
        <v>0.70564608963874342</v>
      </c>
      <c r="M68">
        <f t="shared" si="12"/>
        <v>0.67371682311583125</v>
      </c>
      <c r="N68">
        <f t="shared" si="12"/>
        <v>0.65561404193046635</v>
      </c>
      <c r="P68">
        <f t="shared" si="13"/>
        <v>1.167591629681568</v>
      </c>
      <c r="Q68">
        <f t="shared" si="15"/>
        <v>9.0715394831790436E-3</v>
      </c>
      <c r="S68">
        <f t="shared" si="11"/>
        <v>0.807728608673416</v>
      </c>
    </row>
    <row r="69" spans="7:22" x14ac:dyDescent="0.3">
      <c r="G69">
        <v>408.232527</v>
      </c>
      <c r="H69">
        <v>1.1860839999999999</v>
      </c>
      <c r="J69">
        <f t="shared" si="14"/>
        <v>0.32407516479089304</v>
      </c>
      <c r="K69">
        <f t="shared" si="12"/>
        <v>0.80500157751462253</v>
      </c>
      <c r="L69">
        <f t="shared" si="12"/>
        <v>0.68002913912206142</v>
      </c>
      <c r="M69">
        <f t="shared" si="12"/>
        <v>0.64607819527990451</v>
      </c>
      <c r="N69">
        <f t="shared" si="12"/>
        <v>0.6269043694469254</v>
      </c>
      <c r="P69">
        <f t="shared" si="13"/>
        <v>1.2447931993023631</v>
      </c>
      <c r="Q69">
        <f t="shared" si="15"/>
        <v>3.4467700827246011E-3</v>
      </c>
      <c r="S69">
        <f t="shared" si="11"/>
        <v>0.79640471988151673</v>
      </c>
    </row>
    <row r="70" spans="7:22" x14ac:dyDescent="0.3">
      <c r="G70">
        <v>436.96689700000002</v>
      </c>
      <c r="H70">
        <v>1.340471</v>
      </c>
      <c r="J70">
        <f t="shared" si="14"/>
        <v>0.27986513571728217</v>
      </c>
      <c r="K70">
        <f t="shared" si="12"/>
        <v>0.78259079098541318</v>
      </c>
      <c r="L70">
        <f t="shared" si="12"/>
        <v>0.6467380523069709</v>
      </c>
      <c r="M70">
        <f t="shared" si="12"/>
        <v>0.61036663016831505</v>
      </c>
      <c r="N70">
        <f t="shared" si="12"/>
        <v>0.58993469614992788</v>
      </c>
      <c r="P70">
        <f t="shared" si="13"/>
        <v>1.3174290097046526</v>
      </c>
      <c r="Q70">
        <f t="shared" si="15"/>
        <v>5.3093331677088235E-4</v>
      </c>
      <c r="S70">
        <f t="shared" si="11"/>
        <v>0.785895523381132</v>
      </c>
    </row>
    <row r="71" spans="7:22" x14ac:dyDescent="0.3">
      <c r="G71">
        <v>465.677955</v>
      </c>
      <c r="H71">
        <v>1.4542079999999999</v>
      </c>
      <c r="J71">
        <f t="shared" si="14"/>
        <v>0.25120207099882613</v>
      </c>
      <c r="K71">
        <f t="shared" si="12"/>
        <v>0.7664808543187156</v>
      </c>
      <c r="L71">
        <f t="shared" si="12"/>
        <v>0.62325963029561293</v>
      </c>
      <c r="M71">
        <f t="shared" si="12"/>
        <v>0.58532688712513081</v>
      </c>
      <c r="N71">
        <f t="shared" si="12"/>
        <v>0.56410115563686791</v>
      </c>
      <c r="P71">
        <f t="shared" si="13"/>
        <v>1.3855002309788538</v>
      </c>
      <c r="Q71">
        <f t="shared" si="15"/>
        <v>4.7207575238631732E-3</v>
      </c>
      <c r="S71">
        <f t="shared" si="11"/>
        <v>0.77617266101442617</v>
      </c>
    </row>
    <row r="72" spans="7:22" x14ac:dyDescent="0.3">
      <c r="G72">
        <v>501.50849799999997</v>
      </c>
      <c r="H72">
        <v>1.4947520000000001</v>
      </c>
      <c r="J72">
        <f t="shared" si="14"/>
        <v>0.24171053624025388</v>
      </c>
      <c r="K72">
        <f t="shared" si="12"/>
        <v>0.76081865655946668</v>
      </c>
      <c r="L72">
        <f t="shared" si="12"/>
        <v>0.61509794097330495</v>
      </c>
      <c r="M72">
        <f t="shared" si="12"/>
        <v>0.57665151123451086</v>
      </c>
      <c r="N72">
        <f t="shared" si="12"/>
        <v>0.55516835860434521</v>
      </c>
      <c r="P72">
        <f t="shared" si="13"/>
        <v>1.4643328859320581</v>
      </c>
      <c r="Q72">
        <f t="shared" si="15"/>
        <v>9.2532250067846409E-4</v>
      </c>
      <c r="S72">
        <f t="shared" si="11"/>
        <v>0.76506292152442212</v>
      </c>
    </row>
    <row r="73" spans="7:22" x14ac:dyDescent="0.3">
      <c r="G73">
        <v>530.18225700000005</v>
      </c>
      <c r="H73">
        <v>1.5434479999999999</v>
      </c>
      <c r="J73">
        <f t="shared" si="14"/>
        <v>0.23078341631138588</v>
      </c>
      <c r="K73">
        <f t="shared" si="12"/>
        <v>0.75407324767118122</v>
      </c>
      <c r="L73">
        <f t="shared" si="12"/>
        <v>0.60543636664357403</v>
      </c>
      <c r="M73">
        <f t="shared" si="12"/>
        <v>0.56640160756024938</v>
      </c>
      <c r="N73">
        <f t="shared" si="12"/>
        <v>0.54462626186737706</v>
      </c>
      <c r="P73">
        <f t="shared" si="13"/>
        <v>1.5226999115759754</v>
      </c>
      <c r="Q73">
        <f t="shared" si="15"/>
        <v>4.3048317325114092E-4</v>
      </c>
      <c r="S73">
        <f t="shared" si="11"/>
        <v>0.75693994632895412</v>
      </c>
    </row>
    <row r="74" spans="7:22" x14ac:dyDescent="0.3">
      <c r="G74">
        <v>551.68990799999995</v>
      </c>
      <c r="H74">
        <v>1.5840350000000001</v>
      </c>
      <c r="J74">
        <f t="shared" si="14"/>
        <v>0.22205431830252534</v>
      </c>
      <c r="K74">
        <f t="shared" si="12"/>
        <v>0.74849682211710289</v>
      </c>
      <c r="L74">
        <f t="shared" si="12"/>
        <v>0.59749972274600593</v>
      </c>
      <c r="M74">
        <f t="shared" si="12"/>
        <v>0.55799789416823453</v>
      </c>
      <c r="N74">
        <f t="shared" si="12"/>
        <v>0.53599278463704081</v>
      </c>
      <c r="P74">
        <f t="shared" si="13"/>
        <v>1.5638264012944316</v>
      </c>
      <c r="Q74">
        <f t="shared" si="15"/>
        <v>4.083874616427032E-4</v>
      </c>
      <c r="S74">
        <f t="shared" si="11"/>
        <v>0.75126819614443785</v>
      </c>
    </row>
    <row r="75" spans="7:22" x14ac:dyDescent="0.3">
      <c r="G75">
        <v>587.52045099999998</v>
      </c>
      <c r="H75">
        <v>1.6245799999999999</v>
      </c>
      <c r="J75">
        <f t="shared" si="14"/>
        <v>0.21366391267696808</v>
      </c>
      <c r="K75">
        <f t="shared" si="12"/>
        <v>0.7429673413090131</v>
      </c>
      <c r="L75">
        <f t="shared" si="12"/>
        <v>0.58967517201541542</v>
      </c>
      <c r="M75">
        <f t="shared" si="12"/>
        <v>0.54972737030788243</v>
      </c>
      <c r="N75">
        <f t="shared" si="12"/>
        <v>0.52750488869848877</v>
      </c>
      <c r="P75">
        <f t="shared" si="13"/>
        <v>1.6274943738219911</v>
      </c>
      <c r="Q75">
        <f t="shared" si="15"/>
        <v>8.4935747743077284E-6</v>
      </c>
      <c r="S75">
        <f t="shared" si="11"/>
        <v>0.74257145957486237</v>
      </c>
    </row>
    <row r="76" spans="7:22" x14ac:dyDescent="0.3">
      <c r="G76">
        <v>644.82134499999995</v>
      </c>
      <c r="H76">
        <v>1.640671</v>
      </c>
      <c r="J76">
        <f t="shared" si="14"/>
        <v>0.21042258725647778</v>
      </c>
      <c r="K76">
        <f t="shared" si="12"/>
        <v>0.74078420866077133</v>
      </c>
      <c r="L76">
        <f t="shared" si="12"/>
        <v>0.5865983381169142</v>
      </c>
      <c r="M76">
        <f t="shared" si="12"/>
        <v>0.54647914708667433</v>
      </c>
      <c r="N76">
        <f t="shared" si="12"/>
        <v>0.52417369388900847</v>
      </c>
      <c r="P76">
        <f t="shared" si="13"/>
        <v>1.7174827386031182</v>
      </c>
      <c r="Q76">
        <f t="shared" si="15"/>
        <v>5.9000431872337561E-3</v>
      </c>
      <c r="S76">
        <f t="shared" si="11"/>
        <v>0.73045091537704843</v>
      </c>
    </row>
    <row r="77" spans="7:22" x14ac:dyDescent="0.3">
      <c r="G77">
        <v>673.49044200000003</v>
      </c>
      <c r="H77">
        <v>1.6812370000000001</v>
      </c>
      <c r="J77">
        <f t="shared" si="14"/>
        <v>0.20246765167721092</v>
      </c>
      <c r="K77">
        <f t="shared" si="12"/>
        <v>0.73530888043346232</v>
      </c>
      <c r="L77">
        <f t="shared" si="12"/>
        <v>0.57891259379224547</v>
      </c>
      <c r="M77">
        <f t="shared" si="12"/>
        <v>0.53837518762795311</v>
      </c>
      <c r="N77">
        <f t="shared" si="12"/>
        <v>0.51586869811433667</v>
      </c>
      <c r="P77">
        <f t="shared" si="13"/>
        <v>1.7574361607314757</v>
      </c>
      <c r="Q77">
        <f t="shared" si="15"/>
        <v>5.8063120961812514E-3</v>
      </c>
      <c r="S77">
        <f t="shared" si="11"/>
        <v>0.72513319404678089</v>
      </c>
    </row>
    <row r="78" spans="7:22" x14ac:dyDescent="0.3">
      <c r="G78">
        <v>702.16420100000005</v>
      </c>
      <c r="H78">
        <v>1.7299329999999999</v>
      </c>
      <c r="J78">
        <f t="shared" si="14"/>
        <v>0.19331460296859321</v>
      </c>
      <c r="K78">
        <f t="shared" si="12"/>
        <v>0.72878964090779019</v>
      </c>
      <c r="L78">
        <f t="shared" si="12"/>
        <v>0.56981939629837863</v>
      </c>
      <c r="M78">
        <f t="shared" si="12"/>
        <v>0.52880564049889878</v>
      </c>
      <c r="N78">
        <f t="shared" si="12"/>
        <v>0.50607286296845966</v>
      </c>
      <c r="P78">
        <f t="shared" si="13"/>
        <v>1.7942738607978097</v>
      </c>
      <c r="Q78">
        <f t="shared" si="15"/>
        <v>4.1397463682031335E-3</v>
      </c>
      <c r="S78">
        <f t="shared" si="11"/>
        <v>0.72026447814630634</v>
      </c>
    </row>
    <row r="79" spans="7:22" x14ac:dyDescent="0.3">
      <c r="G79">
        <v>730.83329800000001</v>
      </c>
      <c r="H79">
        <v>1.7704979999999999</v>
      </c>
      <c r="J79">
        <f t="shared" si="14"/>
        <v>0.18600660409726152</v>
      </c>
      <c r="K79">
        <f t="shared" si="12"/>
        <v>0.72340309993778451</v>
      </c>
      <c r="L79">
        <f t="shared" si="12"/>
        <v>0.56235367630322064</v>
      </c>
      <c r="M79">
        <f t="shared" si="12"/>
        <v>0.5209639604613423</v>
      </c>
      <c r="N79">
        <f t="shared" si="12"/>
        <v>0.49805485242067682</v>
      </c>
      <c r="P79">
        <f t="shared" si="13"/>
        <v>1.8281866361906329</v>
      </c>
      <c r="Q79">
        <f t="shared" si="15"/>
        <v>3.3279787455352144E-3</v>
      </c>
      <c r="S79">
        <f t="shared" si="11"/>
        <v>0.71581124432113818</v>
      </c>
    </row>
    <row r="80" spans="7:22" x14ac:dyDescent="0.3">
      <c r="G80">
        <v>788.13885500000004</v>
      </c>
      <c r="H80">
        <v>1.794719</v>
      </c>
      <c r="J80">
        <f t="shared" si="14"/>
        <v>0.18177546724342519</v>
      </c>
      <c r="K80">
        <f t="shared" si="12"/>
        <v>0.72020584592123604</v>
      </c>
      <c r="L80">
        <f t="shared" si="12"/>
        <v>0.55794268257302848</v>
      </c>
      <c r="M80">
        <f t="shared" si="12"/>
        <v>0.51633731920111881</v>
      </c>
      <c r="N80">
        <f t="shared" si="12"/>
        <v>0.49332806978684202</v>
      </c>
      <c r="P80">
        <f t="shared" si="13"/>
        <v>1.8880595583399127</v>
      </c>
      <c r="Q80">
        <f t="shared" si="15"/>
        <v>8.7124598312066509E-3</v>
      </c>
      <c r="S80">
        <f t="shared" si="11"/>
        <v>0.70801618029240898</v>
      </c>
    </row>
    <row r="81" spans="7:19" x14ac:dyDescent="0.3">
      <c r="G81">
        <v>823.96007299999997</v>
      </c>
      <c r="H81">
        <v>1.8190040000000001</v>
      </c>
      <c r="J81">
        <f t="shared" si="14"/>
        <v>0.1776297768560661</v>
      </c>
      <c r="K81">
        <f t="shared" si="12"/>
        <v>0.71701433072363707</v>
      </c>
      <c r="L81">
        <f t="shared" si="12"/>
        <v>0.5535547695162093</v>
      </c>
      <c r="M81">
        <f t="shared" si="12"/>
        <v>0.51173970432851623</v>
      </c>
      <c r="N81">
        <f t="shared" si="12"/>
        <v>0.48863383445358755</v>
      </c>
      <c r="P81">
        <f t="shared" si="13"/>
        <v>1.9207398322804217</v>
      </c>
      <c r="Q81">
        <f t="shared" si="15"/>
        <v>1.0350179569790074E-2</v>
      </c>
      <c r="S81">
        <f t="shared" si="11"/>
        <v>0.70379729288580795</v>
      </c>
    </row>
    <row r="82" spans="7:19" x14ac:dyDescent="0.3">
      <c r="G82">
        <v>849.05310899999995</v>
      </c>
      <c r="H82">
        <v>1.86771</v>
      </c>
      <c r="J82">
        <f t="shared" si="14"/>
        <v>0.16959797424598533</v>
      </c>
      <c r="K82">
        <f t="shared" si="12"/>
        <v>0.71065599080270192</v>
      </c>
      <c r="L82">
        <f t="shared" si="12"/>
        <v>0.54485810544462254</v>
      </c>
      <c r="M82">
        <f t="shared" si="12"/>
        <v>0.50264174812838558</v>
      </c>
      <c r="N82">
        <f t="shared" si="12"/>
        <v>0.47935327515047332</v>
      </c>
      <c r="P82">
        <f t="shared" si="13"/>
        <v>1.9417340689718643</v>
      </c>
      <c r="Q82">
        <f t="shared" si="15"/>
        <v>5.4795627871513245E-3</v>
      </c>
      <c r="S82">
        <f t="shared" si="11"/>
        <v>0.7011002960294701</v>
      </c>
    </row>
    <row r="83" spans="7:19" x14ac:dyDescent="0.3">
      <c r="G83">
        <v>877.72220600000003</v>
      </c>
      <c r="H83">
        <v>1.9082760000000001</v>
      </c>
      <c r="J83">
        <f t="shared" si="14"/>
        <v>0.16318639563604956</v>
      </c>
      <c r="K83">
        <f t="shared" si="12"/>
        <v>0.70540334804809623</v>
      </c>
      <c r="L83">
        <f t="shared" si="12"/>
        <v>0.53771925110501795</v>
      </c>
      <c r="M83">
        <f t="shared" si="12"/>
        <v>0.49518787112171703</v>
      </c>
      <c r="N83">
        <f t="shared" si="12"/>
        <v>0.47175841304443489</v>
      </c>
      <c r="P83">
        <f t="shared" si="13"/>
        <v>1.964017626243495</v>
      </c>
      <c r="Q83">
        <f t="shared" si="15"/>
        <v>3.1071288962694773E-3</v>
      </c>
      <c r="S83">
        <f t="shared" si="11"/>
        <v>0.69824897404069064</v>
      </c>
    </row>
    <row r="84" spans="7:19" x14ac:dyDescent="0.3">
      <c r="G84">
        <v>942.20319600000005</v>
      </c>
      <c r="H84">
        <v>1.956866</v>
      </c>
      <c r="J84">
        <f t="shared" si="14"/>
        <v>0.15582484359653498</v>
      </c>
      <c r="K84">
        <f t="shared" ref="K84:N103" si="16">1/EXP((K$58*2.54)*$H84)</f>
        <v>0.69916280394153274</v>
      </c>
      <c r="L84">
        <f t="shared" si="16"/>
        <v>0.52929133341765733</v>
      </c>
      <c r="M84">
        <f t="shared" si="16"/>
        <v>0.48640496156318469</v>
      </c>
      <c r="N84">
        <f t="shared" si="16"/>
        <v>0.46281950255420923</v>
      </c>
      <c r="P84">
        <f t="shared" si="13"/>
        <v>2.0085847425209398</v>
      </c>
      <c r="Q84">
        <f t="shared" si="15"/>
        <v>2.6748283279472642E-3</v>
      </c>
      <c r="S84">
        <f t="shared" si="11"/>
        <v>0.69258107101695088</v>
      </c>
    </row>
    <row r="85" spans="7:19" x14ac:dyDescent="0.3">
      <c r="G85">
        <v>970.86296800000002</v>
      </c>
      <c r="H85">
        <v>1.9811719999999999</v>
      </c>
      <c r="J85">
        <f t="shared" si="14"/>
        <v>0.15226796235621212</v>
      </c>
      <c r="K85">
        <f t="shared" si="16"/>
        <v>0.69606186551761595</v>
      </c>
      <c r="L85">
        <f t="shared" si="16"/>
        <v>0.52512516218624183</v>
      </c>
      <c r="M85">
        <f t="shared" si="16"/>
        <v>0.48207014445729418</v>
      </c>
      <c r="N85">
        <f t="shared" si="16"/>
        <v>0.45841177973940123</v>
      </c>
      <c r="P85">
        <f t="shared" si="13"/>
        <v>2.0264147723157353</v>
      </c>
      <c r="Q85">
        <f t="shared" si="15"/>
        <v>2.0469084468134708E-3</v>
      </c>
      <c r="S85">
        <f t="shared" si="11"/>
        <v>0.69032641118416016</v>
      </c>
    </row>
    <row r="86" spans="7:19" x14ac:dyDescent="0.3">
      <c r="G86">
        <v>992.36595599999998</v>
      </c>
      <c r="H86">
        <v>2.0136289999999999</v>
      </c>
      <c r="J86">
        <f t="shared" si="14"/>
        <v>0.14764455488537553</v>
      </c>
      <c r="K86">
        <f t="shared" si="16"/>
        <v>0.69194246386841629</v>
      </c>
      <c r="L86">
        <f t="shared" si="16"/>
        <v>0.51961295571499422</v>
      </c>
      <c r="M86">
        <f t="shared" si="16"/>
        <v>0.47634182596574814</v>
      </c>
      <c r="N86">
        <f t="shared" si="16"/>
        <v>0.45259131400261909</v>
      </c>
      <c r="P86">
        <f t="shared" si="13"/>
        <v>2.0391745488764172</v>
      </c>
      <c r="Q86">
        <f t="shared" si="15"/>
        <v>6.525750673974281E-4</v>
      </c>
      <c r="S86">
        <f t="shared" si="11"/>
        <v>0.68871740706631346</v>
      </c>
    </row>
    <row r="87" spans="7:19" x14ac:dyDescent="0.3">
      <c r="G87">
        <v>1024.6251010000001</v>
      </c>
      <c r="H87">
        <v>2.0704440000000002</v>
      </c>
      <c r="J87">
        <f t="shared" si="14"/>
        <v>0.13988679368713267</v>
      </c>
      <c r="K87">
        <f t="shared" si="16"/>
        <v>0.68479017691207145</v>
      </c>
      <c r="L87">
        <f t="shared" si="16"/>
        <v>0.51010292837684357</v>
      </c>
      <c r="M87">
        <f t="shared" si="16"/>
        <v>0.46647795069639642</v>
      </c>
      <c r="N87">
        <f t="shared" si="16"/>
        <v>0.44258010494211114</v>
      </c>
      <c r="P87">
        <f t="shared" si="13"/>
        <v>2.0575268923220102</v>
      </c>
      <c r="Q87">
        <f t="shared" si="15"/>
        <v>1.6685167076478628E-4</v>
      </c>
      <c r="S87">
        <f t="shared" si="11"/>
        <v>0.68640975569443086</v>
      </c>
    </row>
    <row r="88" spans="7:19" x14ac:dyDescent="0.3">
      <c r="G88">
        <v>1106.991057</v>
      </c>
      <c r="H88">
        <v>2.0864609999999999</v>
      </c>
      <c r="J88">
        <f t="shared" si="14"/>
        <v>0.13777436750575062</v>
      </c>
      <c r="K88">
        <f t="shared" si="16"/>
        <v>0.68278723202010672</v>
      </c>
      <c r="L88">
        <f t="shared" si="16"/>
        <v>0.50745349876173296</v>
      </c>
      <c r="M88">
        <f t="shared" si="16"/>
        <v>0.46373426929198241</v>
      </c>
      <c r="N88">
        <f t="shared" si="16"/>
        <v>0.43979802317445998</v>
      </c>
      <c r="P88">
        <f t="shared" si="13"/>
        <v>2.1018197362379558</v>
      </c>
      <c r="Q88">
        <f t="shared" si="15"/>
        <v>2.3589077882710027E-4</v>
      </c>
      <c r="S88">
        <f t="shared" si="11"/>
        <v>0.68087210622959382</v>
      </c>
    </row>
    <row r="89" spans="7:19" x14ac:dyDescent="0.3">
      <c r="G89">
        <v>1142.826262</v>
      </c>
      <c r="H89">
        <v>2.135135</v>
      </c>
      <c r="J89">
        <f t="shared" ref="J89:J116" si="17">EXP(-0.95*H89)</f>
        <v>0.1315486873343264</v>
      </c>
      <c r="K89">
        <f t="shared" si="16"/>
        <v>0.67673637153439647</v>
      </c>
      <c r="L89">
        <f t="shared" si="16"/>
        <v>0.49948630873955924</v>
      </c>
      <c r="M89">
        <f t="shared" si="16"/>
        <v>0.45549514520762929</v>
      </c>
      <c r="N89">
        <f t="shared" si="16"/>
        <v>0.43145043167794411</v>
      </c>
      <c r="P89">
        <f t="shared" si="13"/>
        <v>2.1207418957309141</v>
      </c>
      <c r="Q89">
        <f t="shared" si="15"/>
        <v>2.0716145050077905E-4</v>
      </c>
      <c r="S89">
        <f t="shared" si="11"/>
        <v>0.67852003084778989</v>
      </c>
    </row>
    <row r="90" spans="7:19" x14ac:dyDescent="0.3">
      <c r="G90">
        <v>1196.6070440000001</v>
      </c>
      <c r="H90">
        <v>2.2569279999999998</v>
      </c>
      <c r="J90">
        <f t="shared" si="17"/>
        <v>0.11717560171548429</v>
      </c>
      <c r="K90">
        <f t="shared" si="16"/>
        <v>0.66182970943442709</v>
      </c>
      <c r="L90">
        <f t="shared" si="16"/>
        <v>0.48009444627624742</v>
      </c>
      <c r="M90">
        <f t="shared" si="16"/>
        <v>0.43551476382635956</v>
      </c>
      <c r="N90">
        <f t="shared" si="16"/>
        <v>0.41125058533359249</v>
      </c>
      <c r="P90">
        <f t="shared" si="13"/>
        <v>2.1496799552095069</v>
      </c>
      <c r="Q90">
        <f t="shared" si="15"/>
        <v>1.1502143111383567E-2</v>
      </c>
      <c r="S90">
        <f t="shared" si="11"/>
        <v>0.6749386573706182</v>
      </c>
    </row>
    <row r="91" spans="7:19" x14ac:dyDescent="0.3">
      <c r="G91">
        <v>1232.404951</v>
      </c>
      <c r="H91">
        <v>2.2405620000000002</v>
      </c>
      <c r="J91">
        <f t="shared" si="17"/>
        <v>0.11901164898872872</v>
      </c>
      <c r="K91">
        <f t="shared" si="16"/>
        <v>0.6638135424123911</v>
      </c>
      <c r="L91">
        <f t="shared" si="16"/>
        <v>0.48265579581546075</v>
      </c>
      <c r="M91">
        <f t="shared" si="16"/>
        <v>0.43814779912562113</v>
      </c>
      <c r="N91">
        <f t="shared" si="16"/>
        <v>0.41390894895722324</v>
      </c>
      <c r="P91">
        <f t="shared" si="13"/>
        <v>2.1696941185816359</v>
      </c>
      <c r="Q91">
        <f t="shared" si="15"/>
        <v>5.0222566167273455E-3</v>
      </c>
      <c r="S91">
        <f t="shared" si="11"/>
        <v>0.67247276907603837</v>
      </c>
    </row>
    <row r="92" spans="7:19" x14ac:dyDescent="0.3">
      <c r="G92">
        <v>1289.6592209999999</v>
      </c>
      <c r="H92">
        <v>2.1753520000000002</v>
      </c>
      <c r="J92">
        <f t="shared" si="17"/>
        <v>0.12661751876184416</v>
      </c>
      <c r="K92">
        <f t="shared" si="16"/>
        <v>0.67177731238302674</v>
      </c>
      <c r="L92">
        <f t="shared" si="16"/>
        <v>0.49299786171546445</v>
      </c>
      <c r="M92">
        <f t="shared" si="16"/>
        <v>0.44879810749232452</v>
      </c>
      <c r="N92">
        <f t="shared" si="16"/>
        <v>0.4246728877044022</v>
      </c>
      <c r="P92">
        <f t="shared" si="13"/>
        <v>2.2035983836369164</v>
      </c>
      <c r="Q92">
        <f t="shared" si="15"/>
        <v>7.9785818856384881E-4</v>
      </c>
      <c r="S92">
        <f t="shared" si="11"/>
        <v>0.66831606082242268</v>
      </c>
    </row>
    <row r="93" spans="7:19" x14ac:dyDescent="0.3">
      <c r="G93">
        <v>1318.3283180000001</v>
      </c>
      <c r="H93">
        <v>2.2159179999999998</v>
      </c>
      <c r="J93">
        <f t="shared" si="17"/>
        <v>0.12183079782047783</v>
      </c>
      <c r="K93">
        <f t="shared" si="16"/>
        <v>0.66681203202478845</v>
      </c>
      <c r="L93">
        <f t="shared" si="16"/>
        <v>0.48653849203856259</v>
      </c>
      <c r="M93">
        <f t="shared" si="16"/>
        <v>0.44214269952724861</v>
      </c>
      <c r="N93">
        <f t="shared" si="16"/>
        <v>0.41794438038112258</v>
      </c>
      <c r="P93">
        <f t="shared" si="13"/>
        <v>2.2216501739200423</v>
      </c>
      <c r="Q93">
        <f t="shared" si="15"/>
        <v>3.2857817849614692E-5</v>
      </c>
      <c r="S93">
        <f t="shared" si="11"/>
        <v>0.66611337925677438</v>
      </c>
    </row>
    <row r="94" spans="7:19" x14ac:dyDescent="0.3">
      <c r="G94">
        <v>1375.6991479999999</v>
      </c>
      <c r="H94">
        <v>2.3539599999999998</v>
      </c>
      <c r="J94">
        <f t="shared" si="17"/>
        <v>0.10685719094959714</v>
      </c>
      <c r="K94">
        <f t="shared" si="16"/>
        <v>0.65018898980950024</v>
      </c>
      <c r="L94">
        <f t="shared" si="16"/>
        <v>0.46518529206813491</v>
      </c>
      <c r="M94">
        <f t="shared" si="16"/>
        <v>0.42022564246681055</v>
      </c>
      <c r="N94">
        <f t="shared" si="16"/>
        <v>0.39583649199359344</v>
      </c>
      <c r="P94">
        <f t="shared" si="13"/>
        <v>2.2602734581649293</v>
      </c>
      <c r="Q94">
        <f t="shared" si="15"/>
        <v>8.7771681210144191E-3</v>
      </c>
      <c r="S94">
        <f t="shared" si="11"/>
        <v>0.66142491435246642</v>
      </c>
    </row>
    <row r="95" spans="7:19" x14ac:dyDescent="0.3">
      <c r="G95">
        <v>1433.046666</v>
      </c>
      <c r="H95">
        <v>2.451352</v>
      </c>
      <c r="J95">
        <f t="shared" si="17"/>
        <v>9.7414091714985163E-2</v>
      </c>
      <c r="K95">
        <f t="shared" si="16"/>
        <v>0.63871096315897802</v>
      </c>
      <c r="L95">
        <f t="shared" si="16"/>
        <v>0.45068638322712484</v>
      </c>
      <c r="M95">
        <f t="shared" si="16"/>
        <v>0.40541950157290374</v>
      </c>
      <c r="N95">
        <f t="shared" si="16"/>
        <v>0.38094613858203535</v>
      </c>
      <c r="P95">
        <f t="shared" si="13"/>
        <v>2.3024766776763181</v>
      </c>
      <c r="Q95">
        <f t="shared" si="15"/>
        <v>2.216386159698016E-2</v>
      </c>
      <c r="S95">
        <f t="shared" si="11"/>
        <v>0.65633960410169756</v>
      </c>
    </row>
    <row r="96" spans="7:19" x14ac:dyDescent="0.3">
      <c r="G96">
        <v>1493.904972</v>
      </c>
      <c r="H96">
        <v>2.4267810000000001</v>
      </c>
      <c r="J96">
        <f t="shared" si="17"/>
        <v>9.9714721992669314E-2</v>
      </c>
      <c r="K96">
        <f t="shared" si="16"/>
        <v>0.64158749735875142</v>
      </c>
      <c r="L96">
        <f t="shared" si="16"/>
        <v>0.45430112098516989</v>
      </c>
      <c r="M96">
        <f t="shared" si="16"/>
        <v>0.40910499585611343</v>
      </c>
      <c r="N96">
        <f t="shared" si="16"/>
        <v>0.38464914199189443</v>
      </c>
      <c r="P96">
        <f t="shared" ref="P96:P116" si="18">$V$60+$V$61*($G96/1000)+$V$62*($G96/1000)^2+$V$63*($G96/1000)^3+$V$64*($G96/1000)^4+$V$65*($G96/1000)^5+$V$66*($G96/1000)^6+$V$67*($G96/1000)^7</f>
        <v>2.3512721341181377</v>
      </c>
      <c r="Q96">
        <f t="shared" si="15"/>
        <v>5.7015888267650744E-3</v>
      </c>
      <c r="S96">
        <f t="shared" si="11"/>
        <v>0.65050867326672579</v>
      </c>
    </row>
    <row r="97" spans="7:19" x14ac:dyDescent="0.3">
      <c r="G97">
        <v>1583.441699</v>
      </c>
      <c r="H97">
        <v>2.4590369999999999</v>
      </c>
      <c r="J97">
        <f t="shared" si="17"/>
        <v>9.6705485610351666E-2</v>
      </c>
      <c r="K97">
        <f t="shared" si="16"/>
        <v>0.63781392833037531</v>
      </c>
      <c r="L97">
        <f t="shared" si="16"/>
        <v>0.44956172761387886</v>
      </c>
      <c r="M97">
        <f t="shared" si="16"/>
        <v>0.40427363048765907</v>
      </c>
      <c r="N97">
        <f t="shared" si="16"/>
        <v>0.37979529571389525</v>
      </c>
      <c r="P97">
        <f t="shared" si="18"/>
        <v>2.4299222329366268</v>
      </c>
      <c r="Q97">
        <f t="shared" si="15"/>
        <v>8.4766966115447655E-4</v>
      </c>
      <c r="S97">
        <f t="shared" si="11"/>
        <v>0.64121903128263524</v>
      </c>
    </row>
    <row r="98" spans="7:19" x14ac:dyDescent="0.3">
      <c r="G98">
        <v>1665.858941</v>
      </c>
      <c r="H98">
        <v>2.5644849999999999</v>
      </c>
      <c r="J98">
        <f t="shared" si="17"/>
        <v>8.7487377777115224E-2</v>
      </c>
      <c r="K98">
        <f t="shared" si="16"/>
        <v>0.62563195205410393</v>
      </c>
      <c r="L98">
        <f t="shared" si="16"/>
        <v>0.4344104896539987</v>
      </c>
      <c r="M98">
        <f t="shared" si="16"/>
        <v>0.38887402713876057</v>
      </c>
      <c r="N98">
        <f t="shared" si="16"/>
        <v>0.36435094380101835</v>
      </c>
      <c r="P98">
        <f t="shared" si="18"/>
        <v>2.5077468604416935</v>
      </c>
      <c r="Q98">
        <f t="shared" si="15"/>
        <v>3.219216480537856E-3</v>
      </c>
      <c r="S98">
        <f t="shared" si="11"/>
        <v>0.63215747546237311</v>
      </c>
    </row>
    <row r="99" spans="7:19" x14ac:dyDescent="0.3">
      <c r="G99">
        <v>1762.5524519999999</v>
      </c>
      <c r="H99">
        <v>2.5885889999999998</v>
      </c>
      <c r="J99">
        <f t="shared" si="17"/>
        <v>8.5506784954070436E-2</v>
      </c>
      <c r="K99">
        <f t="shared" si="16"/>
        <v>0.62288014874375641</v>
      </c>
      <c r="L99">
        <f t="shared" si="16"/>
        <v>0.43101945284748711</v>
      </c>
      <c r="M99">
        <f t="shared" si="16"/>
        <v>0.38543707506711772</v>
      </c>
      <c r="N99">
        <f t="shared" si="16"/>
        <v>0.36090970041261539</v>
      </c>
      <c r="P99">
        <f t="shared" si="18"/>
        <v>2.6016216566704644</v>
      </c>
      <c r="Q99">
        <f t="shared" si="15"/>
        <v>1.6985013989020555E-4</v>
      </c>
      <c r="S99">
        <f t="shared" si="11"/>
        <v>0.62139733634434402</v>
      </c>
    </row>
    <row r="100" spans="7:19" x14ac:dyDescent="0.3">
      <c r="G100">
        <v>1816.2959350000001</v>
      </c>
      <c r="H100">
        <v>2.6453410000000002</v>
      </c>
      <c r="J100">
        <f t="shared" si="17"/>
        <v>8.1018808302403392E-2</v>
      </c>
      <c r="K100">
        <f t="shared" si="16"/>
        <v>0.61644882910832277</v>
      </c>
      <c r="L100">
        <f t="shared" si="16"/>
        <v>0.42313954280042443</v>
      </c>
      <c r="M100">
        <f t="shared" si="16"/>
        <v>0.37746437322863324</v>
      </c>
      <c r="N100">
        <f t="shared" si="16"/>
        <v>0.35293521997784982</v>
      </c>
      <c r="P100">
        <f t="shared" si="18"/>
        <v>2.6528301257408913</v>
      </c>
      <c r="Q100">
        <f t="shared" si="15"/>
        <v>5.6087004362877843E-5</v>
      </c>
      <c r="S100">
        <f t="shared" si="11"/>
        <v>0.61560511173087606</v>
      </c>
    </row>
    <row r="101" spans="7:19" x14ac:dyDescent="0.3">
      <c r="G101">
        <v>1870.034756</v>
      </c>
      <c r="H101">
        <v>2.6939630000000001</v>
      </c>
      <c r="J101">
        <f t="shared" si="17"/>
        <v>7.7361591917856978E-2</v>
      </c>
      <c r="K101">
        <f t="shared" si="16"/>
        <v>0.61099166990918585</v>
      </c>
      <c r="L101">
        <f t="shared" si="16"/>
        <v>0.41650315159047102</v>
      </c>
      <c r="M101">
        <f t="shared" si="16"/>
        <v>0.3707650991249678</v>
      </c>
      <c r="N101">
        <f t="shared" si="16"/>
        <v>0.34624341728935309</v>
      </c>
      <c r="P101">
        <f t="shared" si="18"/>
        <v>2.7017629826098757</v>
      </c>
      <c r="Q101">
        <f t="shared" si="15"/>
        <v>6.0839728714361427E-5</v>
      </c>
      <c r="S101">
        <f t="shared" si="11"/>
        <v>0.61012073555544766</v>
      </c>
    </row>
    <row r="102" spans="7:19" x14ac:dyDescent="0.3">
      <c r="G102">
        <v>1938.082482</v>
      </c>
      <c r="H102">
        <v>2.7181519999999999</v>
      </c>
      <c r="J102">
        <f t="shared" si="17"/>
        <v>7.5604127554899273E-2</v>
      </c>
      <c r="K102">
        <f t="shared" si="16"/>
        <v>0.60829480507660161</v>
      </c>
      <c r="L102">
        <f t="shared" si="16"/>
        <v>0.4132404804995905</v>
      </c>
      <c r="M102">
        <f t="shared" si="16"/>
        <v>0.36747669342207206</v>
      </c>
      <c r="N102">
        <f t="shared" si="16"/>
        <v>0.34296171970603834</v>
      </c>
      <c r="P102">
        <f t="shared" si="18"/>
        <v>2.7583648615620842</v>
      </c>
      <c r="Q102">
        <f t="shared" si="15"/>
        <v>1.6170742350113535E-3</v>
      </c>
      <c r="S102">
        <f t="shared" si="11"/>
        <v>0.60383773615946112</v>
      </c>
    </row>
    <row r="103" spans="7:19" x14ac:dyDescent="0.3">
      <c r="G103">
        <v>1988.259229</v>
      </c>
      <c r="H103">
        <v>2.7993049999999999</v>
      </c>
      <c r="J103">
        <f t="shared" si="17"/>
        <v>6.9994420307684616E-2</v>
      </c>
      <c r="K103">
        <f t="shared" si="16"/>
        <v>0.59933360556179138</v>
      </c>
      <c r="L103">
        <f t="shared" si="16"/>
        <v>0.40247993206100902</v>
      </c>
      <c r="M103">
        <f t="shared" si="16"/>
        <v>0.35665582726567785</v>
      </c>
      <c r="N103">
        <f t="shared" si="16"/>
        <v>0.33217731261198319</v>
      </c>
      <c r="P103">
        <f t="shared" si="18"/>
        <v>2.7947729311230969</v>
      </c>
      <c r="Q103">
        <f t="shared" si="15"/>
        <v>2.0539648304993278E-5</v>
      </c>
      <c r="S103">
        <f t="shared" si="11"/>
        <v>0.59983055400444618</v>
      </c>
    </row>
    <row r="104" spans="7:19" x14ac:dyDescent="0.3">
      <c r="G104">
        <v>2045.5135</v>
      </c>
      <c r="H104">
        <v>2.7340949999999999</v>
      </c>
      <c r="J104">
        <f t="shared" si="17"/>
        <v>7.446766683631123E-2</v>
      </c>
      <c r="K104">
        <f t="shared" ref="K104:N116" si="19">1/EXP((K$58*2.54)*$H104)</f>
        <v>0.60652380983665488</v>
      </c>
      <c r="L104">
        <f t="shared" si="19"/>
        <v>0.41110403647846733</v>
      </c>
      <c r="M104">
        <f t="shared" si="19"/>
        <v>0.36532526380910346</v>
      </c>
      <c r="N104">
        <f t="shared" si="19"/>
        <v>0.34081577345020836</v>
      </c>
      <c r="P104">
        <f t="shared" si="18"/>
        <v>2.8292743289146056</v>
      </c>
      <c r="Q104">
        <f t="shared" si="15"/>
        <v>9.0591046526346929E-3</v>
      </c>
      <c r="S104">
        <f t="shared" si="11"/>
        <v>0.59605776869585314</v>
      </c>
    </row>
    <row r="105" spans="7:19" x14ac:dyDescent="0.3">
      <c r="G105">
        <v>2081.3207309999998</v>
      </c>
      <c r="H105">
        <v>2.7339889999999998</v>
      </c>
      <c r="J105">
        <f t="shared" si="17"/>
        <v>7.4475166107943622E-2</v>
      </c>
      <c r="K105">
        <f t="shared" si="19"/>
        <v>0.60653556758449856</v>
      </c>
      <c r="L105">
        <f t="shared" si="19"/>
        <v>0.41111820448590003</v>
      </c>
      <c r="M105">
        <f t="shared" si="19"/>
        <v>0.36533952631273831</v>
      </c>
      <c r="N105">
        <f t="shared" si="19"/>
        <v>0.3408299967390116</v>
      </c>
      <c r="P105">
        <f t="shared" si="18"/>
        <v>2.8464269404419689</v>
      </c>
      <c r="Q105">
        <f t="shared" si="15"/>
        <v>1.2642290450831787E-2</v>
      </c>
      <c r="S105">
        <f t="shared" si="11"/>
        <v>0.59419094272929474</v>
      </c>
    </row>
    <row r="106" spans="7:19" x14ac:dyDescent="0.3">
      <c r="G106">
        <v>2163.7426359999999</v>
      </c>
      <c r="H106">
        <v>2.8475670000000002</v>
      </c>
      <c r="J106">
        <f t="shared" si="17"/>
        <v>6.6857709949843358E-2</v>
      </c>
      <c r="K106">
        <f t="shared" si="19"/>
        <v>0.59406707034201123</v>
      </c>
      <c r="L106">
        <f t="shared" si="19"/>
        <v>0.39621393130162186</v>
      </c>
      <c r="M106">
        <f t="shared" si="19"/>
        <v>0.35037231732805874</v>
      </c>
      <c r="N106">
        <f t="shared" si="19"/>
        <v>0.32592527949165884</v>
      </c>
      <c r="P106">
        <f t="shared" si="18"/>
        <v>2.87119456987012</v>
      </c>
      <c r="Q106">
        <f t="shared" si="15"/>
        <v>5.5826205796739414E-4</v>
      </c>
      <c r="S106">
        <f t="shared" si="11"/>
        <v>0.59150563857506433</v>
      </c>
    </row>
    <row r="107" spans="7:19" x14ac:dyDescent="0.3">
      <c r="G107">
        <v>2231.72975</v>
      </c>
      <c r="H107">
        <v>2.7660650000000002</v>
      </c>
      <c r="J107">
        <f t="shared" si="17"/>
        <v>7.2239972539660149E-2</v>
      </c>
      <c r="K107">
        <f t="shared" si="19"/>
        <v>0.60298800949735154</v>
      </c>
      <c r="L107">
        <f t="shared" si="19"/>
        <v>0.40685311609214175</v>
      </c>
      <c r="M107">
        <f t="shared" si="19"/>
        <v>0.36104894811302718</v>
      </c>
      <c r="N107">
        <f t="shared" si="19"/>
        <v>0.33655294887257237</v>
      </c>
      <c r="P107">
        <f t="shared" si="18"/>
        <v>2.8749408703335568</v>
      </c>
      <c r="Q107">
        <f t="shared" si="15"/>
        <v>1.1853955140889433E-2</v>
      </c>
      <c r="S107">
        <f t="shared" si="11"/>
        <v>0.59110052299677041</v>
      </c>
    </row>
    <row r="108" spans="7:19" x14ac:dyDescent="0.3">
      <c r="G108">
        <v>2256.7994739999999</v>
      </c>
      <c r="H108">
        <v>2.7741210000000001</v>
      </c>
      <c r="J108">
        <f t="shared" si="17"/>
        <v>7.1689215795792433E-2</v>
      </c>
      <c r="K108">
        <f t="shared" si="19"/>
        <v>0.60210029263977871</v>
      </c>
      <c r="L108">
        <f t="shared" si="19"/>
        <v>0.40578889424614895</v>
      </c>
      <c r="M108">
        <f t="shared" si="19"/>
        <v>0.35997929455897398</v>
      </c>
      <c r="N108">
        <f t="shared" si="19"/>
        <v>0.3354872126177173</v>
      </c>
      <c r="P108">
        <f t="shared" si="18"/>
        <v>2.8724322542366174</v>
      </c>
      <c r="Q108">
        <f t="shared" si="15"/>
        <v>9.6651027095768123E-3</v>
      </c>
      <c r="S108">
        <f t="shared" si="11"/>
        <v>0.59137176777545919</v>
      </c>
    </row>
    <row r="109" spans="7:19" x14ac:dyDescent="0.3">
      <c r="G109">
        <v>2339.2446909999999</v>
      </c>
      <c r="H109">
        <v>2.9283489999999999</v>
      </c>
      <c r="J109">
        <f t="shared" si="17"/>
        <v>6.1918792553238032E-2</v>
      </c>
      <c r="K109">
        <f t="shared" si="19"/>
        <v>0.58535518326000302</v>
      </c>
      <c r="L109">
        <f t="shared" si="19"/>
        <v>0.38594329406364553</v>
      </c>
      <c r="M109">
        <f t="shared" si="19"/>
        <v>0.3401015815601599</v>
      </c>
      <c r="N109">
        <f t="shared" si="19"/>
        <v>0.31572269400034952</v>
      </c>
      <c r="P109">
        <f t="shared" si="18"/>
        <v>2.8501968538128182</v>
      </c>
      <c r="Q109">
        <f t="shared" si="15"/>
        <v>6.1077579536626177E-3</v>
      </c>
      <c r="S109">
        <f t="shared" si="11"/>
        <v>0.5937814238675142</v>
      </c>
    </row>
    <row r="110" spans="7:19" x14ac:dyDescent="0.3">
      <c r="G110">
        <v>2400.0890089999998</v>
      </c>
      <c r="H110">
        <v>2.8793890000000002</v>
      </c>
      <c r="J110">
        <f t="shared" si="17"/>
        <v>6.4866786533783208E-2</v>
      </c>
      <c r="K110">
        <f t="shared" si="19"/>
        <v>0.59061987364184276</v>
      </c>
      <c r="L110">
        <f t="shared" si="19"/>
        <v>0.39213584663779899</v>
      </c>
      <c r="M110">
        <f t="shared" si="19"/>
        <v>0.34628990857502179</v>
      </c>
      <c r="N110">
        <f t="shared" si="19"/>
        <v>0.32186745477970574</v>
      </c>
      <c r="P110">
        <f t="shared" si="18"/>
        <v>2.8220206840552464</v>
      </c>
      <c r="Q110">
        <f t="shared" si="15"/>
        <v>3.2911236743370905E-3</v>
      </c>
      <c r="S110">
        <f t="shared" si="11"/>
        <v>0.59684899176665696</v>
      </c>
    </row>
    <row r="111" spans="7:19" x14ac:dyDescent="0.3">
      <c r="G111">
        <v>2464.5700000000002</v>
      </c>
      <c r="H111">
        <v>2.9279790000000001</v>
      </c>
      <c r="J111">
        <f t="shared" si="17"/>
        <v>6.1940560834371765E-2</v>
      </c>
      <c r="K111">
        <f t="shared" si="19"/>
        <v>0.58539479300978503</v>
      </c>
      <c r="L111">
        <f t="shared" si="19"/>
        <v>0.38598972367319384</v>
      </c>
      <c r="M111">
        <f t="shared" si="19"/>
        <v>0.34014793070073085</v>
      </c>
      <c r="N111">
        <f t="shared" si="19"/>
        <v>0.31576868835935668</v>
      </c>
      <c r="P111">
        <f t="shared" si="18"/>
        <v>2.7852531327483376</v>
      </c>
      <c r="Q111">
        <f t="shared" si="15"/>
        <v>2.037067318273918E-2</v>
      </c>
      <c r="S111">
        <f t="shared" si="11"/>
        <v>0.6008757570134442</v>
      </c>
    </row>
    <row r="112" spans="7:19" x14ac:dyDescent="0.3">
      <c r="G112">
        <v>2518.243547</v>
      </c>
      <c r="H112">
        <v>2.8627790000000002</v>
      </c>
      <c r="J112">
        <f t="shared" si="17"/>
        <v>6.5898470312269225E-2</v>
      </c>
      <c r="K112">
        <f t="shared" si="19"/>
        <v>0.59241668996087804</v>
      </c>
      <c r="L112">
        <f t="shared" si="19"/>
        <v>0.39425920373923518</v>
      </c>
      <c r="M112">
        <f t="shared" si="19"/>
        <v>0.34841481717611267</v>
      </c>
      <c r="N112">
        <f t="shared" si="19"/>
        <v>0.32397915803867727</v>
      </c>
      <c r="P112">
        <f t="shared" si="18"/>
        <v>2.753501111829685</v>
      </c>
      <c r="Q112">
        <f t="shared" si="15"/>
        <v>1.1941656842963902E-2</v>
      </c>
      <c r="S112">
        <f t="shared" si="11"/>
        <v>0.60437507823221814</v>
      </c>
    </row>
    <row r="113" spans="7:19" x14ac:dyDescent="0.3">
      <c r="G113">
        <v>2553.9761789999998</v>
      </c>
      <c r="H113">
        <v>2.7325919999999999</v>
      </c>
      <c r="J113">
        <f t="shared" si="17"/>
        <v>7.457407144123325E-2</v>
      </c>
      <c r="K113">
        <f t="shared" si="19"/>
        <v>0.60669054712576842</v>
      </c>
      <c r="L113">
        <f t="shared" si="19"/>
        <v>0.41130497375995156</v>
      </c>
      <c r="M113">
        <f t="shared" si="19"/>
        <v>0.36552754738134474</v>
      </c>
      <c r="N113">
        <f t="shared" si="19"/>
        <v>0.34101750442208806</v>
      </c>
      <c r="P113">
        <f t="shared" si="18"/>
        <v>2.7342986934614686</v>
      </c>
      <c r="Q113">
        <f t="shared" si="15"/>
        <v>2.9128025714199378E-6</v>
      </c>
      <c r="S113">
        <f t="shared" si="11"/>
        <v>0.60650121635989473</v>
      </c>
    </row>
    <row r="114" spans="7:19" x14ac:dyDescent="0.3">
      <c r="G114">
        <v>2639.9181960000001</v>
      </c>
      <c r="H114">
        <v>2.7404679999999999</v>
      </c>
      <c r="J114">
        <f t="shared" si="17"/>
        <v>7.4018175579310119E-2</v>
      </c>
      <c r="K114">
        <f t="shared" si="19"/>
        <v>0.60581732161381763</v>
      </c>
      <c r="L114">
        <f t="shared" si="19"/>
        <v>0.41025311497933281</v>
      </c>
      <c r="M114">
        <f t="shared" si="19"/>
        <v>0.36446878669865695</v>
      </c>
      <c r="N114">
        <f t="shared" si="19"/>
        <v>0.33996172147739045</v>
      </c>
      <c r="P114">
        <f t="shared" si="18"/>
        <v>2.7070751043359707</v>
      </c>
      <c r="Q114">
        <f t="shared" si="15"/>
        <v>1.1150854808287438E-3</v>
      </c>
      <c r="S114">
        <f t="shared" si="11"/>
        <v>0.60952830277733205</v>
      </c>
    </row>
    <row r="115" spans="7:19" x14ac:dyDescent="0.3">
      <c r="G115">
        <v>2664.950621</v>
      </c>
      <c r="H115">
        <v>2.6834829999999998</v>
      </c>
      <c r="J115">
        <f t="shared" si="17"/>
        <v>7.8135650798257142E-2</v>
      </c>
      <c r="K115">
        <f t="shared" si="19"/>
        <v>0.61216380868175102</v>
      </c>
      <c r="L115">
        <f t="shared" si="19"/>
        <v>0.4179247055441252</v>
      </c>
      <c r="M115">
        <f t="shared" si="19"/>
        <v>0.37219893769581391</v>
      </c>
      <c r="N115">
        <f t="shared" si="19"/>
        <v>0.34767496054496105</v>
      </c>
      <c r="P115">
        <f t="shared" si="18"/>
        <v>2.7076771256568151</v>
      </c>
      <c r="Q115">
        <f t="shared" si="15"/>
        <v>5.8535571629776467E-4</v>
      </c>
      <c r="S115">
        <f t="shared" si="11"/>
        <v>0.60946119883206828</v>
      </c>
    </row>
    <row r="116" spans="7:19" x14ac:dyDescent="0.3">
      <c r="G116">
        <v>2693.5497820000001</v>
      </c>
      <c r="H116">
        <v>2.6020970000000001</v>
      </c>
      <c r="J116">
        <f t="shared" si="17"/>
        <v>8.441652100764506E-2</v>
      </c>
      <c r="K116">
        <f t="shared" si="19"/>
        <v>0.62134332013203886</v>
      </c>
      <c r="L116">
        <f t="shared" si="19"/>
        <v>0.42913068618606948</v>
      </c>
      <c r="M116">
        <f t="shared" si="19"/>
        <v>0.3835242890033364</v>
      </c>
      <c r="N116">
        <f t="shared" si="19"/>
        <v>0.35899544130113931</v>
      </c>
      <c r="P116">
        <f t="shared" si="18"/>
        <v>2.7152638482621541</v>
      </c>
      <c r="Q116">
        <f t="shared" si="15"/>
        <v>1.2806735545589377E-2</v>
      </c>
      <c r="S116">
        <f t="shared" si="11"/>
        <v>0.60861618224954583</v>
      </c>
    </row>
    <row r="117" spans="7:19" x14ac:dyDescent="0.3">
      <c r="Q117">
        <f>SUM(Q60:Q116)</f>
        <v>1.0447951440922862</v>
      </c>
    </row>
    <row r="118" spans="7:19" x14ac:dyDescent="0.3">
      <c r="G118" t="s">
        <v>20</v>
      </c>
    </row>
    <row r="119" spans="7:19" x14ac:dyDescent="0.3">
      <c r="G119" t="s">
        <v>19</v>
      </c>
      <c r="H119" t="s">
        <v>14</v>
      </c>
      <c r="J119" t="s">
        <v>21</v>
      </c>
    </row>
    <row r="120" spans="7:19" x14ac:dyDescent="0.3">
      <c r="G120">
        <v>173.471204</v>
      </c>
      <c r="H120">
        <v>1.7237549999999999</v>
      </c>
      <c r="J120">
        <f>EXP(-0.762*H120)</f>
        <v>0.26887698467970195</v>
      </c>
    </row>
    <row r="121" spans="7:19" x14ac:dyDescent="0.3">
      <c r="G121">
        <v>205.955276</v>
      </c>
      <c r="H121">
        <v>1.350822</v>
      </c>
      <c r="J121">
        <f t="shared" ref="J121:J174" si="20">EXP(-0.762*H121)</f>
        <v>0.35724753433051309</v>
      </c>
    </row>
    <row r="122" spans="7:19" x14ac:dyDescent="0.3">
      <c r="G122">
        <v>234.69145399999999</v>
      </c>
      <c r="H122">
        <v>1.180631</v>
      </c>
      <c r="J122">
        <f t="shared" si="20"/>
        <v>0.4067157168465248</v>
      </c>
    </row>
    <row r="123" spans="7:19" x14ac:dyDescent="0.3">
      <c r="G123">
        <v>263.17684400000002</v>
      </c>
      <c r="H123">
        <v>1.302413</v>
      </c>
      <c r="J123">
        <f t="shared" si="20"/>
        <v>0.37067162875513576</v>
      </c>
    </row>
    <row r="124" spans="7:19" x14ac:dyDescent="0.3">
      <c r="G124">
        <v>295.16630600000002</v>
      </c>
      <c r="H124">
        <v>1.505314</v>
      </c>
      <c r="J124">
        <f t="shared" si="20"/>
        <v>0.31757245943322215</v>
      </c>
    </row>
    <row r="125" spans="7:19" x14ac:dyDescent="0.3">
      <c r="G125">
        <v>323.68652700000001</v>
      </c>
      <c r="H125">
        <v>1.586543</v>
      </c>
      <c r="J125">
        <f t="shared" si="20"/>
        <v>0.29851181490843626</v>
      </c>
    </row>
    <row r="126" spans="7:19" x14ac:dyDescent="0.3">
      <c r="G126">
        <v>348.786272</v>
      </c>
      <c r="H126">
        <v>1.48933</v>
      </c>
      <c r="J126">
        <f t="shared" si="20"/>
        <v>0.32146408251685715</v>
      </c>
    </row>
    <row r="127" spans="7:19" x14ac:dyDescent="0.3">
      <c r="G127">
        <v>381.05438800000002</v>
      </c>
      <c r="H127">
        <v>1.3678170000000001</v>
      </c>
      <c r="J127">
        <f t="shared" si="20"/>
        <v>0.35265093851855001</v>
      </c>
    </row>
    <row r="128" spans="7:19" x14ac:dyDescent="0.3">
      <c r="G128">
        <v>413.23890799999998</v>
      </c>
      <c r="H128">
        <v>1.343629</v>
      </c>
      <c r="J128">
        <f t="shared" si="20"/>
        <v>0.35921100769249215</v>
      </c>
    </row>
    <row r="129" spans="7:10" x14ac:dyDescent="0.3">
      <c r="G129">
        <v>441.78002800000002</v>
      </c>
      <c r="H129">
        <v>1.4005270000000001</v>
      </c>
      <c r="J129">
        <f t="shared" si="20"/>
        <v>0.34396974570789429</v>
      </c>
    </row>
    <row r="130" spans="7:10" x14ac:dyDescent="0.3">
      <c r="G130">
        <v>531.12341800000002</v>
      </c>
      <c r="H130">
        <v>1.4009229999999999</v>
      </c>
      <c r="J130">
        <f t="shared" si="20"/>
        <v>0.34386596780756939</v>
      </c>
    </row>
    <row r="131" spans="7:10" x14ac:dyDescent="0.3">
      <c r="G131">
        <v>556.08383700000002</v>
      </c>
      <c r="H131">
        <v>1.465916</v>
      </c>
      <c r="J131">
        <f t="shared" si="20"/>
        <v>0.32725094319873305</v>
      </c>
    </row>
    <row r="132" spans="7:10" x14ac:dyDescent="0.3">
      <c r="G132">
        <v>584.61799099999996</v>
      </c>
      <c r="H132">
        <v>1.5309250000000001</v>
      </c>
      <c r="J132">
        <f t="shared" si="20"/>
        <v>0.31143493156700225</v>
      </c>
    </row>
    <row r="133" spans="7:10" x14ac:dyDescent="0.3">
      <c r="G133">
        <v>609.62020700000005</v>
      </c>
      <c r="H133">
        <v>1.5472570000000001</v>
      </c>
      <c r="J133">
        <f t="shared" si="20"/>
        <v>0.30758314624279454</v>
      </c>
    </row>
    <row r="134" spans="7:10" x14ac:dyDescent="0.3">
      <c r="G134">
        <v>673.94048199999997</v>
      </c>
      <c r="H134">
        <v>1.5556509999999999</v>
      </c>
      <c r="J134">
        <f t="shared" si="20"/>
        <v>0.30562205279684612</v>
      </c>
    </row>
    <row r="135" spans="7:10" x14ac:dyDescent="0.3">
      <c r="G135">
        <v>727.44898699999999</v>
      </c>
      <c r="H135">
        <v>1.6694329999999999</v>
      </c>
      <c r="J135">
        <f t="shared" si="20"/>
        <v>0.28024026737512342</v>
      </c>
    </row>
    <row r="136" spans="7:10" x14ac:dyDescent="0.3">
      <c r="G136">
        <v>788.19552599999997</v>
      </c>
      <c r="H136">
        <v>1.6778120000000001</v>
      </c>
      <c r="J136">
        <f t="shared" si="20"/>
        <v>0.27845668982670269</v>
      </c>
    </row>
    <row r="137" spans="7:10" x14ac:dyDescent="0.3">
      <c r="G137">
        <v>820.310382</v>
      </c>
      <c r="H137">
        <v>1.7347269999999999</v>
      </c>
      <c r="J137">
        <f t="shared" si="20"/>
        <v>0.26663836576382272</v>
      </c>
    </row>
    <row r="138" spans="7:10" x14ac:dyDescent="0.3">
      <c r="G138">
        <v>877.25329599999998</v>
      </c>
      <c r="H138">
        <v>2.010732</v>
      </c>
      <c r="J138">
        <f t="shared" si="20"/>
        <v>0.21606461251827208</v>
      </c>
    </row>
    <row r="139" spans="7:10" x14ac:dyDescent="0.3">
      <c r="G139">
        <v>902.19978200000003</v>
      </c>
      <c r="H139">
        <v>2.0919460000000001</v>
      </c>
      <c r="J139">
        <f t="shared" si="20"/>
        <v>0.20309877295389323</v>
      </c>
    </row>
    <row r="140" spans="7:10" x14ac:dyDescent="0.3">
      <c r="G140">
        <v>934.37036899999998</v>
      </c>
      <c r="H140">
        <v>2.0839780000000001</v>
      </c>
      <c r="J140">
        <f t="shared" si="20"/>
        <v>0.20433566187083552</v>
      </c>
    </row>
    <row r="141" spans="7:10" x14ac:dyDescent="0.3">
      <c r="G141">
        <v>962.99508600000001</v>
      </c>
      <c r="H141">
        <v>2.043552</v>
      </c>
      <c r="J141">
        <f t="shared" si="20"/>
        <v>0.21072809538303475</v>
      </c>
    </row>
    <row r="142" spans="7:10" x14ac:dyDescent="0.3">
      <c r="G142">
        <v>991.64766799999995</v>
      </c>
      <c r="H142">
        <v>1.9706859999999999</v>
      </c>
      <c r="J142">
        <f t="shared" si="20"/>
        <v>0.2227594627615945</v>
      </c>
    </row>
    <row r="143" spans="7:10" x14ac:dyDescent="0.3">
      <c r="G143">
        <v>1048.792606</v>
      </c>
      <c r="H143">
        <v>2.0114899999999998</v>
      </c>
      <c r="J143">
        <f t="shared" si="20"/>
        <v>0.21593985049683084</v>
      </c>
    </row>
    <row r="144" spans="7:10" x14ac:dyDescent="0.3">
      <c r="G144">
        <v>1113.0780480000001</v>
      </c>
      <c r="H144">
        <v>2.0604369999999999</v>
      </c>
      <c r="J144">
        <f t="shared" si="20"/>
        <v>0.20803415750275481</v>
      </c>
    </row>
    <row r="145" spans="7:10" x14ac:dyDescent="0.3">
      <c r="G145">
        <v>1170.222986</v>
      </c>
      <c r="H145">
        <v>2.1012420000000001</v>
      </c>
      <c r="J145">
        <f t="shared" si="20"/>
        <v>0.20166519563861185</v>
      </c>
    </row>
    <row r="146" spans="7:10" x14ac:dyDescent="0.3">
      <c r="G146">
        <v>1230.9137949999999</v>
      </c>
      <c r="H146">
        <v>2.1745030000000001</v>
      </c>
      <c r="J146">
        <f t="shared" si="20"/>
        <v>0.19071572965634317</v>
      </c>
    </row>
    <row r="147" spans="7:10" x14ac:dyDescent="0.3">
      <c r="G147">
        <v>1284.443199</v>
      </c>
      <c r="H147">
        <v>2.263954</v>
      </c>
      <c r="J147">
        <f t="shared" si="20"/>
        <v>0.17814936559656111</v>
      </c>
    </row>
    <row r="148" spans="7:10" x14ac:dyDescent="0.3">
      <c r="G148">
        <v>1320.159656</v>
      </c>
      <c r="H148">
        <v>2.288443</v>
      </c>
      <c r="J148">
        <f t="shared" si="20"/>
        <v>0.17485581376696252</v>
      </c>
    </row>
    <row r="149" spans="7:10" x14ac:dyDescent="0.3">
      <c r="G149">
        <v>1373.7447910000001</v>
      </c>
      <c r="H149">
        <v>2.3130120000000001</v>
      </c>
      <c r="J149">
        <f t="shared" si="20"/>
        <v>0.17161268993368339</v>
      </c>
    </row>
    <row r="150" spans="7:10" x14ac:dyDescent="0.3">
      <c r="G150">
        <v>1402.2998439999999</v>
      </c>
      <c r="H150">
        <v>2.3536899999999998</v>
      </c>
      <c r="J150">
        <f t="shared" si="20"/>
        <v>0.16637487060469938</v>
      </c>
    </row>
    <row r="151" spans="7:10" x14ac:dyDescent="0.3">
      <c r="G151">
        <v>1462.955821</v>
      </c>
      <c r="H151">
        <v>2.4675029999999998</v>
      </c>
      <c r="J151">
        <f t="shared" si="20"/>
        <v>0.15255390255647544</v>
      </c>
    </row>
    <row r="152" spans="7:10" x14ac:dyDescent="0.3">
      <c r="G152">
        <v>1495.0637099999999</v>
      </c>
      <c r="H152">
        <v>2.5325280000000001</v>
      </c>
      <c r="J152">
        <f t="shared" si="20"/>
        <v>0.14517921474171541</v>
      </c>
    </row>
    <row r="153" spans="7:10" x14ac:dyDescent="0.3">
      <c r="G153">
        <v>1552.2156150000001</v>
      </c>
      <c r="H153">
        <v>2.565223</v>
      </c>
      <c r="J153">
        <f t="shared" si="20"/>
        <v>0.14160696288709568</v>
      </c>
    </row>
    <row r="154" spans="7:10" x14ac:dyDescent="0.3">
      <c r="G154">
        <v>1605.821649</v>
      </c>
      <c r="H154">
        <v>2.5654599999999999</v>
      </c>
      <c r="J154">
        <f t="shared" si="20"/>
        <v>0.14158139182829946</v>
      </c>
    </row>
    <row r="155" spans="7:10" x14ac:dyDescent="0.3">
      <c r="G155">
        <v>1684.4159669999999</v>
      </c>
      <c r="H155">
        <v>2.598249</v>
      </c>
      <c r="J155">
        <f t="shared" si="20"/>
        <v>0.13808777600732602</v>
      </c>
    </row>
    <row r="156" spans="7:10" x14ac:dyDescent="0.3">
      <c r="G156">
        <v>1777.2634290000001</v>
      </c>
      <c r="H156">
        <v>2.6797629999999999</v>
      </c>
      <c r="J156">
        <f t="shared" si="20"/>
        <v>0.12977158582932574</v>
      </c>
    </row>
    <row r="157" spans="7:10" x14ac:dyDescent="0.3">
      <c r="G157">
        <v>1845.1156410000001</v>
      </c>
      <c r="H157">
        <v>2.7368359999999998</v>
      </c>
      <c r="J157">
        <f t="shared" si="20"/>
        <v>0.12424882981968123</v>
      </c>
    </row>
    <row r="158" spans="7:10" x14ac:dyDescent="0.3">
      <c r="G158">
        <v>1916.5903539999999</v>
      </c>
      <c r="H158">
        <v>2.737152</v>
      </c>
      <c r="J158">
        <f t="shared" si="20"/>
        <v>0.12421891529718462</v>
      </c>
    </row>
    <row r="159" spans="7:10" x14ac:dyDescent="0.3">
      <c r="G159">
        <v>2012.990652</v>
      </c>
      <c r="H159">
        <v>2.8430140000000002</v>
      </c>
      <c r="J159">
        <f t="shared" si="20"/>
        <v>0.11459207072232122</v>
      </c>
    </row>
    <row r="160" spans="7:10" x14ac:dyDescent="0.3">
      <c r="G160">
        <v>2070.156489</v>
      </c>
      <c r="H160">
        <v>2.8594870000000001</v>
      </c>
      <c r="J160">
        <f t="shared" si="20"/>
        <v>0.11316265233726223</v>
      </c>
    </row>
    <row r="161" spans="7:10" x14ac:dyDescent="0.3">
      <c r="G161">
        <v>2130.8124659999999</v>
      </c>
      <c r="H161">
        <v>2.9733010000000002</v>
      </c>
      <c r="J161">
        <f t="shared" si="20"/>
        <v>0.10376201057429622</v>
      </c>
    </row>
    <row r="162" spans="7:10" x14ac:dyDescent="0.3">
      <c r="G162">
        <v>2187.992236</v>
      </c>
      <c r="H162">
        <v>2.973554</v>
      </c>
      <c r="J162">
        <f t="shared" si="20"/>
        <v>0.10374200863943416</v>
      </c>
    </row>
    <row r="163" spans="7:10" x14ac:dyDescent="0.3">
      <c r="G163">
        <v>2280.87453</v>
      </c>
      <c r="H163">
        <v>3.014516</v>
      </c>
      <c r="J163">
        <f t="shared" si="20"/>
        <v>0.10055391858662216</v>
      </c>
    </row>
    <row r="164" spans="7:10" x14ac:dyDescent="0.3">
      <c r="G164">
        <v>2341.5444389999998</v>
      </c>
      <c r="H164">
        <v>3.1121089999999998</v>
      </c>
      <c r="J164">
        <f t="shared" si="20"/>
        <v>9.334741900100893E-2</v>
      </c>
    </row>
    <row r="165" spans="7:10" x14ac:dyDescent="0.3">
      <c r="G165">
        <v>2391.5976369999998</v>
      </c>
      <c r="H165">
        <v>3.0880000000000001</v>
      </c>
      <c r="J165">
        <f t="shared" si="20"/>
        <v>9.5078158935307674E-2</v>
      </c>
    </row>
    <row r="166" spans="7:10" x14ac:dyDescent="0.3">
      <c r="G166">
        <v>2455.8970119999999</v>
      </c>
      <c r="H166">
        <v>3.1207250000000002</v>
      </c>
      <c r="J166">
        <f t="shared" si="20"/>
        <v>9.2736564048396919E-2</v>
      </c>
    </row>
    <row r="167" spans="7:10" x14ac:dyDescent="0.3">
      <c r="G167">
        <v>2480.8992290000001</v>
      </c>
      <c r="H167">
        <v>3.137057</v>
      </c>
      <c r="J167">
        <f t="shared" si="20"/>
        <v>9.1589610703690941E-2</v>
      </c>
    </row>
    <row r="168" spans="7:10" x14ac:dyDescent="0.3">
      <c r="G168">
        <v>2516.6853489999999</v>
      </c>
      <c r="H168">
        <v>3.0804429999999998</v>
      </c>
      <c r="J168">
        <f t="shared" si="20"/>
        <v>9.5627239643615747E-2</v>
      </c>
    </row>
    <row r="169" spans="7:10" x14ac:dyDescent="0.3">
      <c r="G169">
        <v>2541.7920610000001</v>
      </c>
      <c r="H169">
        <v>2.9751189999999998</v>
      </c>
      <c r="J169">
        <f t="shared" si="20"/>
        <v>0.10361836691975422</v>
      </c>
    </row>
    <row r="170" spans="7:10" x14ac:dyDescent="0.3">
      <c r="G170">
        <v>2599.0554269999998</v>
      </c>
      <c r="H170">
        <v>2.8780480000000002</v>
      </c>
      <c r="J170">
        <f t="shared" si="20"/>
        <v>0.11157340364840354</v>
      </c>
    </row>
    <row r="171" spans="7:10" x14ac:dyDescent="0.3">
      <c r="G171">
        <v>2631.1702829999999</v>
      </c>
      <c r="H171">
        <v>2.9349620000000001</v>
      </c>
      <c r="J171">
        <f t="shared" si="20"/>
        <v>0.10683806052334581</v>
      </c>
    </row>
    <row r="172" spans="7:10" x14ac:dyDescent="0.3">
      <c r="G172">
        <v>2659.7392690000001</v>
      </c>
      <c r="H172">
        <v>2.9594200000000002</v>
      </c>
      <c r="J172">
        <f t="shared" si="20"/>
        <v>0.10486535972427798</v>
      </c>
    </row>
    <row r="173" spans="7:10" x14ac:dyDescent="0.3">
      <c r="G173">
        <v>2688.363985</v>
      </c>
      <c r="H173">
        <v>2.9189949999999998</v>
      </c>
      <c r="J173">
        <f t="shared" si="20"/>
        <v>0.10814588351980309</v>
      </c>
    </row>
    <row r="174" spans="7:10" x14ac:dyDescent="0.3">
      <c r="G174">
        <v>2688.363985</v>
      </c>
      <c r="H174">
        <v>2.9189949999999998</v>
      </c>
      <c r="J174">
        <f t="shared" si="20"/>
        <v>0.10814588351980309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2"/>
  <sheetViews>
    <sheetView workbookViewId="0">
      <selection activeCell="G52" sqref="G52"/>
    </sheetView>
  </sheetViews>
  <sheetFormatPr defaultRowHeight="14.4" x14ac:dyDescent="0.3"/>
  <sheetData>
    <row r="1" spans="1:3" x14ac:dyDescent="0.3">
      <c r="A1" t="s">
        <v>64</v>
      </c>
    </row>
    <row r="2" spans="1:3" x14ac:dyDescent="0.3">
      <c r="A2" t="s">
        <v>52</v>
      </c>
      <c r="B2" t="s">
        <v>65</v>
      </c>
      <c r="C2" t="s">
        <v>54</v>
      </c>
    </row>
    <row r="3" spans="1:3" x14ac:dyDescent="0.3">
      <c r="A3">
        <v>60</v>
      </c>
      <c r="B3">
        <v>0</v>
      </c>
      <c r="C3">
        <v>0.99</v>
      </c>
    </row>
    <row r="4" spans="1:3" x14ac:dyDescent="0.3">
      <c r="A4">
        <v>70</v>
      </c>
      <c r="B4">
        <v>0</v>
      </c>
      <c r="C4">
        <v>0.99</v>
      </c>
    </row>
    <row r="5" spans="1:3" x14ac:dyDescent="0.3">
      <c r="A5">
        <v>80</v>
      </c>
      <c r="B5">
        <v>0</v>
      </c>
      <c r="C5">
        <v>0.99</v>
      </c>
    </row>
    <row r="6" spans="1:3" x14ac:dyDescent="0.3">
      <c r="A6">
        <v>90</v>
      </c>
      <c r="B6">
        <v>0</v>
      </c>
      <c r="C6">
        <v>0.99</v>
      </c>
    </row>
    <row r="7" spans="1:3" x14ac:dyDescent="0.3">
      <c r="A7">
        <v>100</v>
      </c>
      <c r="B7">
        <v>0</v>
      </c>
      <c r="C7">
        <v>0.99</v>
      </c>
    </row>
    <row r="8" spans="1:3" x14ac:dyDescent="0.3">
      <c r="A8">
        <v>110</v>
      </c>
      <c r="B8">
        <v>0</v>
      </c>
      <c r="C8">
        <v>0.99</v>
      </c>
    </row>
    <row r="9" spans="1:3" x14ac:dyDescent="0.3">
      <c r="A9">
        <v>120</v>
      </c>
      <c r="B9">
        <v>0</v>
      </c>
      <c r="C9">
        <v>0.99</v>
      </c>
    </row>
    <row r="10" spans="1:3" x14ac:dyDescent="0.3">
      <c r="A10">
        <v>130</v>
      </c>
      <c r="B10">
        <v>0</v>
      </c>
      <c r="C10">
        <v>0.99</v>
      </c>
    </row>
    <row r="11" spans="1:3" x14ac:dyDescent="0.3">
      <c r="A11">
        <v>140</v>
      </c>
      <c r="B11">
        <v>0</v>
      </c>
      <c r="C11">
        <v>0.99</v>
      </c>
    </row>
    <row r="12" spans="1:3" x14ac:dyDescent="0.3">
      <c r="A12">
        <v>150</v>
      </c>
      <c r="B12">
        <v>0</v>
      </c>
      <c r="C12">
        <v>0.99</v>
      </c>
    </row>
    <row r="13" spans="1:3" x14ac:dyDescent="0.3">
      <c r="A13">
        <v>160</v>
      </c>
      <c r="B13">
        <v>0</v>
      </c>
      <c r="C13">
        <v>0.99</v>
      </c>
    </row>
    <row r="14" spans="1:3" x14ac:dyDescent="0.3">
      <c r="A14">
        <v>170</v>
      </c>
      <c r="B14">
        <v>0</v>
      </c>
      <c r="C14">
        <v>0.99</v>
      </c>
    </row>
    <row r="15" spans="1:3" x14ac:dyDescent="0.3">
      <c r="A15">
        <v>180</v>
      </c>
      <c r="B15">
        <v>0</v>
      </c>
      <c r="C15">
        <v>0.99</v>
      </c>
    </row>
    <row r="16" spans="1:3" x14ac:dyDescent="0.3">
      <c r="A16">
        <v>190</v>
      </c>
      <c r="B16">
        <v>0</v>
      </c>
      <c r="C16">
        <v>0.99</v>
      </c>
    </row>
    <row r="17" spans="1:3" x14ac:dyDescent="0.3">
      <c r="A17">
        <v>200</v>
      </c>
      <c r="B17">
        <v>0</v>
      </c>
      <c r="C17">
        <v>0.99</v>
      </c>
    </row>
    <row r="18" spans="1:3" x14ac:dyDescent="0.3">
      <c r="A18">
        <v>220</v>
      </c>
      <c r="B18">
        <v>0</v>
      </c>
      <c r="C18">
        <v>0.99</v>
      </c>
    </row>
    <row r="19" spans="1:3" x14ac:dyDescent="0.3">
      <c r="A19">
        <v>240</v>
      </c>
      <c r="B19">
        <v>0</v>
      </c>
      <c r="C19">
        <v>0.99</v>
      </c>
    </row>
    <row r="20" spans="1:3" x14ac:dyDescent="0.3">
      <c r="A20">
        <v>260</v>
      </c>
      <c r="B20">
        <v>0</v>
      </c>
      <c r="C20">
        <v>0.99</v>
      </c>
    </row>
    <row r="21" spans="1:3" x14ac:dyDescent="0.3">
      <c r="A21">
        <v>280</v>
      </c>
      <c r="B21">
        <v>0</v>
      </c>
      <c r="C21">
        <v>0.99</v>
      </c>
    </row>
    <row r="22" spans="1:3" x14ac:dyDescent="0.3">
      <c r="A22">
        <v>300</v>
      </c>
      <c r="B22">
        <v>0</v>
      </c>
      <c r="C22">
        <v>0.99</v>
      </c>
    </row>
    <row r="23" spans="1:3" x14ac:dyDescent="0.3">
      <c r="A23">
        <v>320</v>
      </c>
      <c r="B23">
        <v>0</v>
      </c>
      <c r="C23">
        <v>0.99</v>
      </c>
    </row>
    <row r="24" spans="1:3" x14ac:dyDescent="0.3">
      <c r="A24">
        <v>340</v>
      </c>
      <c r="B24">
        <v>0</v>
      </c>
      <c r="C24">
        <v>0.99</v>
      </c>
    </row>
    <row r="25" spans="1:3" x14ac:dyDescent="0.3">
      <c r="A25">
        <v>360</v>
      </c>
      <c r="B25">
        <v>0</v>
      </c>
      <c r="C25">
        <v>0.99</v>
      </c>
    </row>
    <row r="26" spans="1:3" x14ac:dyDescent="0.3">
      <c r="A26">
        <v>380</v>
      </c>
      <c r="B26">
        <v>0</v>
      </c>
      <c r="C26">
        <v>0.99</v>
      </c>
    </row>
    <row r="27" spans="1:3" x14ac:dyDescent="0.3">
      <c r="A27">
        <v>400</v>
      </c>
      <c r="B27">
        <v>0</v>
      </c>
      <c r="C27">
        <v>0.99</v>
      </c>
    </row>
    <row r="28" spans="1:3" x14ac:dyDescent="0.3">
      <c r="A28">
        <v>450</v>
      </c>
      <c r="B28">
        <v>0</v>
      </c>
      <c r="C28">
        <v>0.99</v>
      </c>
    </row>
    <row r="29" spans="1:3" x14ac:dyDescent="0.3">
      <c r="A29">
        <v>500</v>
      </c>
      <c r="B29">
        <v>0</v>
      </c>
      <c r="C29">
        <v>0.99</v>
      </c>
    </row>
    <row r="30" spans="1:3" x14ac:dyDescent="0.3">
      <c r="A30">
        <v>550</v>
      </c>
      <c r="B30">
        <v>0</v>
      </c>
      <c r="C30">
        <v>0.99</v>
      </c>
    </row>
    <row r="31" spans="1:3" x14ac:dyDescent="0.3">
      <c r="A31">
        <v>600</v>
      </c>
      <c r="B31">
        <v>0</v>
      </c>
      <c r="C31">
        <v>0.99</v>
      </c>
    </row>
    <row r="32" spans="1:3" x14ac:dyDescent="0.3">
      <c r="A32">
        <v>650</v>
      </c>
      <c r="B32">
        <v>0</v>
      </c>
      <c r="C32">
        <v>0.99</v>
      </c>
    </row>
    <row r="33" spans="1:3" x14ac:dyDescent="0.3">
      <c r="A33">
        <v>700</v>
      </c>
      <c r="B33">
        <v>0</v>
      </c>
      <c r="C33">
        <v>0.99</v>
      </c>
    </row>
    <row r="34" spans="1:3" x14ac:dyDescent="0.3">
      <c r="A34">
        <v>750</v>
      </c>
      <c r="B34">
        <v>0</v>
      </c>
      <c r="C34">
        <v>0.99</v>
      </c>
    </row>
    <row r="35" spans="1:3" x14ac:dyDescent="0.3">
      <c r="A35">
        <v>800</v>
      </c>
      <c r="B35">
        <v>0</v>
      </c>
      <c r="C35">
        <v>0.99</v>
      </c>
    </row>
    <row r="36" spans="1:3" x14ac:dyDescent="0.3">
      <c r="A36">
        <v>850</v>
      </c>
      <c r="B36">
        <v>0</v>
      </c>
      <c r="C36">
        <v>0.99</v>
      </c>
    </row>
    <row r="37" spans="1:3" x14ac:dyDescent="0.3">
      <c r="A37">
        <v>900</v>
      </c>
      <c r="B37">
        <v>0</v>
      </c>
      <c r="C37">
        <v>0.99</v>
      </c>
    </row>
    <row r="38" spans="1:3" x14ac:dyDescent="0.3">
      <c r="A38">
        <v>950</v>
      </c>
      <c r="B38">
        <v>0</v>
      </c>
      <c r="C38">
        <v>0.99</v>
      </c>
    </row>
    <row r="39" spans="1:3" x14ac:dyDescent="0.3">
      <c r="A39">
        <v>1000</v>
      </c>
      <c r="B39">
        <v>0</v>
      </c>
      <c r="C39">
        <v>0.99</v>
      </c>
    </row>
    <row r="40" spans="1:3" x14ac:dyDescent="0.3">
      <c r="A40">
        <v>1100</v>
      </c>
      <c r="B40">
        <v>0</v>
      </c>
      <c r="C40">
        <v>0.99</v>
      </c>
    </row>
    <row r="41" spans="1:3" x14ac:dyDescent="0.3">
      <c r="A41">
        <v>1200</v>
      </c>
      <c r="B41">
        <v>0</v>
      </c>
      <c r="C41">
        <v>0.99</v>
      </c>
    </row>
    <row r="42" spans="1:3" x14ac:dyDescent="0.3">
      <c r="A42">
        <v>1300</v>
      </c>
      <c r="B42">
        <v>0</v>
      </c>
      <c r="C42">
        <v>0.99</v>
      </c>
    </row>
    <row r="43" spans="1:3" x14ac:dyDescent="0.3">
      <c r="A43">
        <v>1400</v>
      </c>
      <c r="B43">
        <v>0</v>
      </c>
      <c r="C43">
        <v>0.99</v>
      </c>
    </row>
    <row r="44" spans="1:3" x14ac:dyDescent="0.3">
      <c r="A44">
        <v>1500</v>
      </c>
      <c r="B44">
        <v>0</v>
      </c>
      <c r="C44">
        <v>0.99</v>
      </c>
    </row>
    <row r="45" spans="1:3" x14ac:dyDescent="0.3">
      <c r="A45">
        <v>1600</v>
      </c>
      <c r="B45">
        <v>0</v>
      </c>
      <c r="C45">
        <v>0.99</v>
      </c>
    </row>
    <row r="46" spans="1:3" x14ac:dyDescent="0.3">
      <c r="A46">
        <v>1700</v>
      </c>
      <c r="B46">
        <v>0</v>
      </c>
      <c r="C46">
        <v>0.99</v>
      </c>
    </row>
    <row r="47" spans="1:3" x14ac:dyDescent="0.3">
      <c r="A47">
        <v>1800</v>
      </c>
      <c r="B47">
        <v>0</v>
      </c>
      <c r="C47">
        <v>0.99</v>
      </c>
    </row>
    <row r="48" spans="1:3" x14ac:dyDescent="0.3">
      <c r="A48">
        <v>1900</v>
      </c>
      <c r="B48">
        <v>0</v>
      </c>
      <c r="C48">
        <v>0.99</v>
      </c>
    </row>
    <row r="49" spans="1:3" x14ac:dyDescent="0.3">
      <c r="A49">
        <v>2000</v>
      </c>
      <c r="B49">
        <v>0</v>
      </c>
      <c r="C49">
        <v>0.99</v>
      </c>
    </row>
    <row r="50" spans="1:3" x14ac:dyDescent="0.3">
      <c r="A50">
        <v>2100</v>
      </c>
      <c r="B50">
        <v>0</v>
      </c>
      <c r="C50">
        <v>0.99</v>
      </c>
    </row>
    <row r="51" spans="1:3" x14ac:dyDescent="0.3">
      <c r="A51">
        <v>2200</v>
      </c>
      <c r="B51">
        <v>0</v>
      </c>
      <c r="C51">
        <v>0.99</v>
      </c>
    </row>
    <row r="52" spans="1:3" x14ac:dyDescent="0.3">
      <c r="A52">
        <v>2300</v>
      </c>
      <c r="B52">
        <v>0</v>
      </c>
      <c r="C52">
        <v>0.99</v>
      </c>
    </row>
    <row r="53" spans="1:3" x14ac:dyDescent="0.3">
      <c r="A53">
        <v>2400</v>
      </c>
      <c r="B53">
        <v>0</v>
      </c>
      <c r="C53">
        <v>0.99</v>
      </c>
    </row>
    <row r="54" spans="1:3" x14ac:dyDescent="0.3">
      <c r="A54">
        <v>2500</v>
      </c>
      <c r="B54">
        <v>0</v>
      </c>
      <c r="C54">
        <v>0.99</v>
      </c>
    </row>
    <row r="55" spans="1:3" x14ac:dyDescent="0.3">
      <c r="A55">
        <v>2600</v>
      </c>
      <c r="B55">
        <v>0</v>
      </c>
      <c r="C55">
        <v>0.99</v>
      </c>
    </row>
    <row r="56" spans="1:3" x14ac:dyDescent="0.3">
      <c r="A56">
        <v>2700</v>
      </c>
      <c r="B56">
        <v>0</v>
      </c>
      <c r="C56">
        <v>0.99</v>
      </c>
    </row>
    <row r="57" spans="1:3" x14ac:dyDescent="0.3">
      <c r="A57">
        <v>2800</v>
      </c>
      <c r="B57">
        <v>0</v>
      </c>
      <c r="C57">
        <v>0.99</v>
      </c>
    </row>
    <row r="58" spans="1:3" x14ac:dyDescent="0.3">
      <c r="A58">
        <v>2900</v>
      </c>
      <c r="B58">
        <v>0</v>
      </c>
      <c r="C58">
        <v>0.99</v>
      </c>
    </row>
    <row r="59" spans="1:3" x14ac:dyDescent="0.3">
      <c r="A59">
        <v>3000</v>
      </c>
      <c r="B59">
        <v>0</v>
      </c>
      <c r="C59">
        <v>0.99</v>
      </c>
    </row>
    <row r="60" spans="1:3" x14ac:dyDescent="0.3">
      <c r="A60">
        <v>3100</v>
      </c>
      <c r="B60">
        <v>0</v>
      </c>
      <c r="C60">
        <v>0.99</v>
      </c>
    </row>
    <row r="61" spans="1:3" x14ac:dyDescent="0.3">
      <c r="A61">
        <v>3200</v>
      </c>
      <c r="B61">
        <v>0</v>
      </c>
      <c r="C61">
        <v>0.99</v>
      </c>
    </row>
    <row r="62" spans="1:3" x14ac:dyDescent="0.3">
      <c r="A62">
        <v>3300</v>
      </c>
      <c r="B62">
        <v>0</v>
      </c>
      <c r="C62">
        <v>0.99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K1860</vt:lpstr>
      <vt:lpstr>Sheet2</vt:lpstr>
      <vt:lpstr>IR_50</vt:lpstr>
      <vt:lpstr>IR_100</vt:lpstr>
      <vt:lpstr>K1887</vt:lpstr>
      <vt:lpstr>K1888</vt:lpstr>
      <vt:lpstr>K1889</vt:lpstr>
      <vt:lpstr>PTFE</vt:lpstr>
      <vt:lpstr>Nylon</vt:lpstr>
      <vt:lpstr>Data</vt:lpstr>
      <vt:lpstr>mirror</vt:lpstr>
      <vt:lpstr>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Simon</cp:lastModifiedBy>
  <dcterms:created xsi:type="dcterms:W3CDTF">2014-07-07T02:10:47Z</dcterms:created>
  <dcterms:modified xsi:type="dcterms:W3CDTF">2014-07-23T17:40:07Z</dcterms:modified>
</cp:coreProperties>
</file>